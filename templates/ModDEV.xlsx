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im\Desktop\"/>
    </mc:Choice>
  </mc:AlternateContent>
  <xr:revisionPtr revIDLastSave="0" documentId="13_ncr:1_{A7DA9C82-BDE1-426C-8024-1FB8A4B6898E}" xr6:coauthVersionLast="47" xr6:coauthVersionMax="47" xr10:uidLastSave="{00000000-0000-0000-0000-000000000000}"/>
  <bookViews>
    <workbookView xWindow="-28920" yWindow="-105" windowWidth="29040" windowHeight="15720" activeTab="1" xr2:uid="{00000000-000D-0000-FFFF-FFFF00000000}"/>
  </bookViews>
  <sheets>
    <sheet name="Вводные" sheetId="1" r:id="rId1"/>
    <sheet name="Структура_затрат" sheetId="2" r:id="rId2"/>
    <sheet name="ГПР" sheetId="3" r:id="rId3"/>
    <sheet name="Продажи" sheetId="4" r:id="rId4"/>
    <sheet name="Кредит" sheetId="5" r:id="rId5"/>
    <sheet name="Денежный_поток" sheetId="6" r:id="rId6"/>
    <sheet name="Поставки" sheetId="7" r:id="rId7"/>
    <sheet name="ДСCR" sheetId="8" r:id="rId8"/>
    <sheet name="Свод" sheetId="9" r:id="rId9"/>
  </sheets>
  <calcPr calcId="181029" forceFullCalc="1"/>
</workbook>
</file>

<file path=xl/calcChain.xml><?xml version="1.0" encoding="utf-8"?>
<calcChain xmlns="http://schemas.openxmlformats.org/spreadsheetml/2006/main">
  <c r="F39" i="7" l="1"/>
  <c r="E39" i="7"/>
  <c r="D39" i="7"/>
  <c r="C39" i="7"/>
  <c r="F38" i="7"/>
  <c r="E38" i="7"/>
  <c r="D38" i="7"/>
  <c r="C38" i="7"/>
  <c r="F37" i="7"/>
  <c r="E37" i="7"/>
  <c r="D37" i="7"/>
  <c r="C37" i="7"/>
  <c r="F36" i="7"/>
  <c r="E36" i="7"/>
  <c r="D36" i="7"/>
  <c r="C36" i="7"/>
  <c r="F35" i="7"/>
  <c r="E35" i="7"/>
  <c r="D35" i="7"/>
  <c r="C35" i="7"/>
  <c r="F34" i="7"/>
  <c r="E34" i="7"/>
  <c r="D34" i="7"/>
  <c r="C34" i="7"/>
  <c r="F33" i="7"/>
  <c r="E33" i="7"/>
  <c r="D33" i="7"/>
  <c r="C33" i="7"/>
  <c r="F32" i="7"/>
  <c r="E32" i="7"/>
  <c r="D32" i="7"/>
  <c r="C32" i="7"/>
  <c r="F31" i="7"/>
  <c r="E31" i="7"/>
  <c r="D31" i="7"/>
  <c r="C31" i="7"/>
  <c r="F30" i="7"/>
  <c r="E30" i="7"/>
  <c r="D30" i="7"/>
  <c r="C30" i="7"/>
  <c r="F29" i="7"/>
  <c r="E29" i="7"/>
  <c r="D29" i="7"/>
  <c r="C29" i="7"/>
  <c r="F28" i="7"/>
  <c r="E28" i="7"/>
  <c r="D28" i="7"/>
  <c r="C28" i="7"/>
  <c r="F27" i="7"/>
  <c r="E27" i="7"/>
  <c r="D27" i="7"/>
  <c r="C27" i="7"/>
  <c r="F26" i="7"/>
  <c r="E26" i="7"/>
  <c r="D26" i="7"/>
  <c r="C26" i="7"/>
  <c r="E25" i="7"/>
  <c r="D25" i="7"/>
  <c r="C25" i="7"/>
  <c r="E24" i="7"/>
  <c r="D24" i="7"/>
  <c r="C24" i="7"/>
  <c r="D23" i="7"/>
  <c r="C23" i="7"/>
  <c r="D22" i="7"/>
  <c r="C22" i="7"/>
  <c r="D21" i="7"/>
  <c r="C21" i="7"/>
  <c r="D20" i="7"/>
  <c r="C20" i="7"/>
  <c r="D19" i="7"/>
  <c r="C19" i="7"/>
  <c r="D18" i="7"/>
  <c r="C18" i="7"/>
  <c r="D17" i="7"/>
  <c r="C17" i="7"/>
  <c r="D16" i="7"/>
  <c r="C16" i="7"/>
  <c r="F15" i="7"/>
  <c r="D15" i="7"/>
  <c r="C15" i="7"/>
  <c r="F14" i="7"/>
  <c r="E14" i="7"/>
  <c r="D14" i="7"/>
  <c r="C14" i="7"/>
  <c r="F13" i="7"/>
  <c r="E13" i="7"/>
  <c r="D13" i="7"/>
  <c r="C13" i="7"/>
  <c r="F12" i="7"/>
  <c r="E12" i="7"/>
  <c r="D12" i="7"/>
  <c r="C12" i="7"/>
  <c r="F11" i="7"/>
  <c r="E11" i="7"/>
  <c r="D11" i="7"/>
  <c r="C11" i="7"/>
  <c r="F10" i="7"/>
  <c r="E10" i="7"/>
  <c r="D10" i="7"/>
  <c r="C10" i="7"/>
  <c r="F9" i="7"/>
  <c r="E9" i="7"/>
  <c r="D9" i="7"/>
  <c r="C9" i="7"/>
  <c r="F8" i="7"/>
  <c r="E8" i="7"/>
  <c r="D8" i="7"/>
  <c r="C8" i="7"/>
  <c r="F7" i="7"/>
  <c r="E7" i="7"/>
  <c r="D7" i="7"/>
  <c r="C7" i="7"/>
  <c r="F6" i="7"/>
  <c r="E6" i="7"/>
  <c r="D6" i="7"/>
  <c r="C6" i="7"/>
  <c r="F5" i="7"/>
  <c r="E5" i="7"/>
  <c r="D5" i="7"/>
  <c r="C5" i="7"/>
  <c r="F4" i="7"/>
  <c r="E4" i="7"/>
  <c r="D4" i="7"/>
  <c r="C4" i="7"/>
  <c r="F39" i="5"/>
  <c r="D39" i="6" s="1"/>
  <c r="C39" i="5"/>
  <c r="F38" i="5"/>
  <c r="D38" i="6" s="1"/>
  <c r="C38" i="5"/>
  <c r="F37" i="5"/>
  <c r="D37" i="6" s="1"/>
  <c r="C37" i="5"/>
  <c r="F36" i="5"/>
  <c r="D36" i="6" s="1"/>
  <c r="C36" i="5"/>
  <c r="F35" i="5"/>
  <c r="D35" i="6" s="1"/>
  <c r="C35" i="5"/>
  <c r="F34" i="5"/>
  <c r="D34" i="6" s="1"/>
  <c r="C34" i="5"/>
  <c r="F33" i="5"/>
  <c r="D33" i="6" s="1"/>
  <c r="C33" i="5"/>
  <c r="F32" i="5"/>
  <c r="D32" i="6" s="1"/>
  <c r="C32" i="5"/>
  <c r="F31" i="5"/>
  <c r="D31" i="6" s="1"/>
  <c r="C31" i="5"/>
  <c r="F30" i="5"/>
  <c r="D30" i="6" s="1"/>
  <c r="C30" i="5"/>
  <c r="F29" i="5"/>
  <c r="D29" i="6" s="1"/>
  <c r="C29" i="5"/>
  <c r="F28" i="5"/>
  <c r="D28" i="6" s="1"/>
  <c r="C28" i="5"/>
  <c r="F27" i="5"/>
  <c r="D27" i="6" s="1"/>
  <c r="C27" i="5"/>
  <c r="F26" i="5"/>
  <c r="D26" i="6" s="1"/>
  <c r="C26" i="5"/>
  <c r="F25" i="5"/>
  <c r="D25" i="6" s="1"/>
  <c r="C25" i="5"/>
  <c r="F24" i="5"/>
  <c r="D24" i="6" s="1"/>
  <c r="C24" i="5"/>
  <c r="F23" i="5"/>
  <c r="D23" i="6" s="1"/>
  <c r="C23" i="5"/>
  <c r="F22" i="5"/>
  <c r="D22" i="6" s="1"/>
  <c r="C22" i="5"/>
  <c r="F21" i="5"/>
  <c r="D21" i="6" s="1"/>
  <c r="C21" i="5"/>
  <c r="F20" i="5"/>
  <c r="D20" i="6" s="1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C5" i="5"/>
  <c r="J4" i="5"/>
  <c r="C4" i="5"/>
  <c r="H39" i="4"/>
  <c r="I39" i="4" s="1"/>
  <c r="F39" i="4"/>
  <c r="E39" i="4"/>
  <c r="O39" i="4" s="1"/>
  <c r="D39" i="4"/>
  <c r="H38" i="4"/>
  <c r="I38" i="4" s="1"/>
  <c r="F38" i="4"/>
  <c r="E38" i="4"/>
  <c r="D38" i="4"/>
  <c r="H37" i="4"/>
  <c r="I37" i="4" s="1"/>
  <c r="F37" i="4"/>
  <c r="E37" i="4"/>
  <c r="D37" i="4"/>
  <c r="H36" i="4"/>
  <c r="I36" i="4" s="1"/>
  <c r="F36" i="4"/>
  <c r="E36" i="4"/>
  <c r="O36" i="4" s="1"/>
  <c r="D36" i="4"/>
  <c r="H35" i="4"/>
  <c r="I35" i="4" s="1"/>
  <c r="F35" i="4"/>
  <c r="E35" i="4"/>
  <c r="O35" i="4" s="1"/>
  <c r="D35" i="4"/>
  <c r="H34" i="4"/>
  <c r="I34" i="4" s="1"/>
  <c r="F34" i="4"/>
  <c r="E34" i="4"/>
  <c r="D34" i="4"/>
  <c r="H33" i="4"/>
  <c r="I33" i="4" s="1"/>
  <c r="F33" i="4"/>
  <c r="E33" i="4"/>
  <c r="O33" i="4" s="1"/>
  <c r="D33" i="4"/>
  <c r="H32" i="4"/>
  <c r="I32" i="4" s="1"/>
  <c r="F32" i="4"/>
  <c r="E32" i="4"/>
  <c r="D32" i="4"/>
  <c r="H31" i="4"/>
  <c r="I31" i="4" s="1"/>
  <c r="F31" i="4"/>
  <c r="E31" i="4"/>
  <c r="O31" i="4" s="1"/>
  <c r="D31" i="4"/>
  <c r="H30" i="4"/>
  <c r="I30" i="4" s="1"/>
  <c r="F30" i="4"/>
  <c r="E30" i="4"/>
  <c r="O30" i="4" s="1"/>
  <c r="D30" i="4"/>
  <c r="H29" i="4"/>
  <c r="I29" i="4" s="1"/>
  <c r="F29" i="4"/>
  <c r="E29" i="4"/>
  <c r="O29" i="4" s="1"/>
  <c r="D29" i="4"/>
  <c r="H28" i="4"/>
  <c r="I28" i="4" s="1"/>
  <c r="F28" i="4"/>
  <c r="E28" i="4"/>
  <c r="O28" i="4" s="1"/>
  <c r="D28" i="4"/>
  <c r="H27" i="4"/>
  <c r="I27" i="4" s="1"/>
  <c r="F27" i="4"/>
  <c r="E27" i="4"/>
  <c r="D27" i="4"/>
  <c r="H26" i="4"/>
  <c r="I26" i="4" s="1"/>
  <c r="F26" i="4"/>
  <c r="E26" i="4"/>
  <c r="D26" i="4"/>
  <c r="H25" i="4"/>
  <c r="I25" i="4" s="1"/>
  <c r="F25" i="4"/>
  <c r="E25" i="4"/>
  <c r="D25" i="4"/>
  <c r="H24" i="4"/>
  <c r="I24" i="4" s="1"/>
  <c r="F24" i="4"/>
  <c r="E24" i="4"/>
  <c r="O24" i="4" s="1"/>
  <c r="D24" i="4"/>
  <c r="H23" i="4"/>
  <c r="I23" i="4" s="1"/>
  <c r="F23" i="4"/>
  <c r="E23" i="4"/>
  <c r="O23" i="4" s="1"/>
  <c r="D23" i="4"/>
  <c r="H22" i="4"/>
  <c r="I22" i="4" s="1"/>
  <c r="F22" i="4"/>
  <c r="E22" i="4"/>
  <c r="O22" i="4" s="1"/>
  <c r="D22" i="4"/>
  <c r="H21" i="4"/>
  <c r="I21" i="4" s="1"/>
  <c r="F21" i="4"/>
  <c r="E21" i="4"/>
  <c r="O21" i="4" s="1"/>
  <c r="D21" i="4"/>
  <c r="H20" i="4"/>
  <c r="I20" i="4" s="1"/>
  <c r="F20" i="4"/>
  <c r="E20" i="4"/>
  <c r="D20" i="4"/>
  <c r="H19" i="4"/>
  <c r="I19" i="4" s="1"/>
  <c r="F19" i="4"/>
  <c r="D19" i="4"/>
  <c r="E19" i="4" s="1"/>
  <c r="H18" i="4"/>
  <c r="I18" i="4" s="1"/>
  <c r="F18" i="4"/>
  <c r="D18" i="4"/>
  <c r="E18" i="4" s="1"/>
  <c r="H17" i="4"/>
  <c r="I17" i="4" s="1"/>
  <c r="F17" i="4"/>
  <c r="D17" i="4"/>
  <c r="E17" i="4" s="1"/>
  <c r="H16" i="4"/>
  <c r="I16" i="4" s="1"/>
  <c r="F16" i="4"/>
  <c r="D16" i="4"/>
  <c r="E16" i="4" s="1"/>
  <c r="H15" i="4"/>
  <c r="I15" i="4" s="1"/>
  <c r="F15" i="4"/>
  <c r="D15" i="4"/>
  <c r="E15" i="4" s="1"/>
  <c r="H14" i="4"/>
  <c r="I14" i="4" s="1"/>
  <c r="F14" i="4"/>
  <c r="D14" i="4"/>
  <c r="E14" i="4" s="1"/>
  <c r="H13" i="4"/>
  <c r="I13" i="4" s="1"/>
  <c r="F13" i="4"/>
  <c r="D13" i="4"/>
  <c r="E13" i="4" s="1"/>
  <c r="H12" i="4"/>
  <c r="I12" i="4" s="1"/>
  <c r="F12" i="4"/>
  <c r="D12" i="4"/>
  <c r="E12" i="4" s="1"/>
  <c r="H11" i="4"/>
  <c r="I11" i="4" s="1"/>
  <c r="F11" i="4"/>
  <c r="D11" i="4"/>
  <c r="E11" i="4" s="1"/>
  <c r="H10" i="4"/>
  <c r="I10" i="4" s="1"/>
  <c r="F10" i="4"/>
  <c r="D10" i="4"/>
  <c r="E10" i="4" s="1"/>
  <c r="H9" i="4"/>
  <c r="I9" i="4" s="1"/>
  <c r="F9" i="4"/>
  <c r="D9" i="4"/>
  <c r="E9" i="4" s="1"/>
  <c r="H8" i="4"/>
  <c r="I8" i="4" s="1"/>
  <c r="F8" i="4"/>
  <c r="D8" i="4"/>
  <c r="E8" i="4" s="1"/>
  <c r="H7" i="4"/>
  <c r="I7" i="4" s="1"/>
  <c r="F7" i="4"/>
  <c r="D7" i="4"/>
  <c r="E7" i="4" s="1"/>
  <c r="H6" i="4"/>
  <c r="I6" i="4" s="1"/>
  <c r="F6" i="4"/>
  <c r="D6" i="4"/>
  <c r="E6" i="4" s="1"/>
  <c r="G6" i="4" s="1"/>
  <c r="H5" i="4"/>
  <c r="I5" i="4" s="1"/>
  <c r="F5" i="4"/>
  <c r="D5" i="4"/>
  <c r="E5" i="4" s="1"/>
  <c r="H4" i="4"/>
  <c r="I4" i="4" s="1"/>
  <c r="F4" i="4"/>
  <c r="D4" i="4"/>
  <c r="E4" i="4" s="1"/>
  <c r="C14" i="3"/>
  <c r="B14" i="3"/>
  <c r="C13" i="3"/>
  <c r="B13" i="3"/>
  <c r="C12" i="3"/>
  <c r="B12" i="3"/>
  <c r="C11" i="3"/>
  <c r="B11" i="3"/>
  <c r="C10" i="3"/>
  <c r="B10" i="3"/>
  <c r="C9" i="3"/>
  <c r="B9" i="3"/>
  <c r="C8" i="3"/>
  <c r="B8" i="3"/>
  <c r="C7" i="3"/>
  <c r="B7" i="3"/>
  <c r="C6" i="3"/>
  <c r="B6" i="3"/>
  <c r="C5" i="3"/>
  <c r="B5" i="3"/>
  <c r="C4" i="3"/>
  <c r="B4" i="3"/>
  <c r="G35" i="2"/>
  <c r="F35" i="2"/>
  <c r="G33" i="2"/>
  <c r="F33" i="2"/>
  <c r="G32" i="2"/>
  <c r="F32" i="2"/>
  <c r="G31" i="2"/>
  <c r="G30" i="2"/>
  <c r="F30" i="2"/>
  <c r="G29" i="2"/>
  <c r="F29" i="2"/>
  <c r="D29" i="2"/>
  <c r="G28" i="2"/>
  <c r="F28" i="2"/>
  <c r="D28" i="2"/>
  <c r="G27" i="2"/>
  <c r="F27" i="2"/>
  <c r="D27" i="2"/>
  <c r="G26" i="2"/>
  <c r="F26" i="2"/>
  <c r="D26" i="2"/>
  <c r="G25" i="2"/>
  <c r="F25" i="2"/>
  <c r="D25" i="2"/>
  <c r="G24" i="2"/>
  <c r="F24" i="2"/>
  <c r="D24" i="2"/>
  <c r="G23" i="2"/>
  <c r="F23" i="2"/>
  <c r="D23" i="2"/>
  <c r="G22" i="2"/>
  <c r="F22" i="2"/>
  <c r="D22" i="2"/>
  <c r="G21" i="2"/>
  <c r="F21" i="2"/>
  <c r="D21" i="2"/>
  <c r="G20" i="2"/>
  <c r="F20" i="2"/>
  <c r="D20" i="2"/>
  <c r="G19" i="2"/>
  <c r="F19" i="2"/>
  <c r="D19" i="2"/>
  <c r="G18" i="2"/>
  <c r="F18" i="2"/>
  <c r="D18" i="2"/>
  <c r="G17" i="2"/>
  <c r="F17" i="2"/>
  <c r="D17" i="2"/>
  <c r="G16" i="2"/>
  <c r="F16" i="2"/>
  <c r="D16" i="2"/>
  <c r="G15" i="2"/>
  <c r="F15" i="2"/>
  <c r="D15" i="2"/>
  <c r="G14" i="2"/>
  <c r="F14" i="2"/>
  <c r="D14" i="2"/>
  <c r="G13" i="2"/>
  <c r="F13" i="2"/>
  <c r="D13" i="2"/>
  <c r="G12" i="2"/>
  <c r="F12" i="2"/>
  <c r="D12" i="2"/>
  <c r="G11" i="2"/>
  <c r="F11" i="2"/>
  <c r="D11" i="2"/>
  <c r="G10" i="2"/>
  <c r="F10" i="2"/>
  <c r="D10" i="2"/>
  <c r="G9" i="2"/>
  <c r="F9" i="2"/>
  <c r="D9" i="2"/>
  <c r="G7" i="2"/>
  <c r="D7" i="2"/>
  <c r="G6" i="2"/>
  <c r="D6" i="2"/>
  <c r="G5" i="2"/>
  <c r="D5" i="2"/>
  <c r="G4" i="2"/>
  <c r="D4" i="2"/>
  <c r="B28" i="1"/>
  <c r="P7" i="4" s="1"/>
  <c r="B27" i="1"/>
  <c r="G13" i="4" l="1"/>
  <c r="J13" i="4" s="1"/>
  <c r="N13" i="4" s="1"/>
  <c r="H13" i="6" s="1"/>
  <c r="G8" i="4"/>
  <c r="J8" i="4" s="1"/>
  <c r="N8" i="4" s="1"/>
  <c r="H8" i="6" s="1"/>
  <c r="G35" i="4"/>
  <c r="J35" i="4" s="1"/>
  <c r="N35" i="4" s="1"/>
  <c r="H35" i="6" s="1"/>
  <c r="G14" i="4"/>
  <c r="G36" i="4"/>
  <c r="J36" i="4" s="1"/>
  <c r="D14" i="3"/>
  <c r="D5" i="3"/>
  <c r="AH5" i="3" s="1"/>
  <c r="G27" i="4"/>
  <c r="J27" i="4" s="1"/>
  <c r="N27" i="4" s="1"/>
  <c r="H27" i="6" s="1"/>
  <c r="J6" i="4"/>
  <c r="N6" i="4" s="1"/>
  <c r="H6" i="6" s="1"/>
  <c r="D9" i="3"/>
  <c r="V9" i="3" s="1"/>
  <c r="G34" i="4"/>
  <c r="J34" i="4" s="1"/>
  <c r="H4" i="2"/>
  <c r="G20" i="4"/>
  <c r="J20" i="4" s="1"/>
  <c r="N20" i="4" s="1"/>
  <c r="H20" i="6" s="1"/>
  <c r="G37" i="4"/>
  <c r="J37" i="4" s="1"/>
  <c r="H5" i="2"/>
  <c r="H7" i="2"/>
  <c r="G39" i="4"/>
  <c r="J39" i="4" s="1"/>
  <c r="N39" i="4" s="1"/>
  <c r="H39" i="6" s="1"/>
  <c r="O34" i="4"/>
  <c r="H9" i="2"/>
  <c r="K9" i="2" s="1"/>
  <c r="H13" i="2"/>
  <c r="K13" i="2" s="1"/>
  <c r="L13" i="2" s="1"/>
  <c r="H21" i="2"/>
  <c r="K21" i="2" s="1"/>
  <c r="L21" i="2" s="1"/>
  <c r="H29" i="2"/>
  <c r="E13" i="3" s="1"/>
  <c r="H17" i="2"/>
  <c r="H25" i="2"/>
  <c r="K25" i="2" s="1"/>
  <c r="L25" i="2" s="1"/>
  <c r="G22" i="4"/>
  <c r="J22" i="4" s="1"/>
  <c r="N22" i="4" s="1"/>
  <c r="H22" i="6" s="1"/>
  <c r="G16" i="4"/>
  <c r="O16" i="4" s="1"/>
  <c r="G9" i="4"/>
  <c r="J9" i="4" s="1"/>
  <c r="N9" i="4" s="1"/>
  <c r="H9" i="6" s="1"/>
  <c r="O20" i="4"/>
  <c r="O27" i="4"/>
  <c r="G23" i="4"/>
  <c r="J23" i="4" s="1"/>
  <c r="N23" i="4" s="1"/>
  <c r="H23" i="6" s="1"/>
  <c r="G33" i="4"/>
  <c r="J33" i="4" s="1"/>
  <c r="N33" i="4" s="1"/>
  <c r="H33" i="6" s="1"/>
  <c r="G21" i="4"/>
  <c r="J21" i="4" s="1"/>
  <c r="N21" i="4" s="1"/>
  <c r="H21" i="6" s="1"/>
  <c r="G28" i="4"/>
  <c r="J28" i="4" s="1"/>
  <c r="N28" i="4" s="1"/>
  <c r="H28" i="6" s="1"/>
  <c r="H14" i="2"/>
  <c r="K14" i="2" s="1"/>
  <c r="L14" i="2" s="1"/>
  <c r="H26" i="2"/>
  <c r="K26" i="2" s="1"/>
  <c r="L26" i="2" s="1"/>
  <c r="H6" i="2"/>
  <c r="G26" i="4"/>
  <c r="J26" i="4" s="1"/>
  <c r="N26" i="4" s="1"/>
  <c r="H26" i="6" s="1"/>
  <c r="H10" i="2"/>
  <c r="K10" i="2" s="1"/>
  <c r="L10" i="2" s="1"/>
  <c r="H18" i="2"/>
  <c r="K18" i="2" s="1"/>
  <c r="L18" i="2" s="1"/>
  <c r="H22" i="2"/>
  <c r="K22" i="2" s="1"/>
  <c r="L22" i="2" s="1"/>
  <c r="H11" i="2"/>
  <c r="E6" i="3" s="1"/>
  <c r="H15" i="2"/>
  <c r="H19" i="2"/>
  <c r="H23" i="2"/>
  <c r="K23" i="2" s="1"/>
  <c r="H27" i="2"/>
  <c r="K27" i="2" s="1"/>
  <c r="L27" i="2" s="1"/>
  <c r="D6" i="3"/>
  <c r="AM6" i="3" s="1"/>
  <c r="D12" i="3"/>
  <c r="N12" i="3" s="1"/>
  <c r="G24" i="4"/>
  <c r="J24" i="4" s="1"/>
  <c r="N24" i="4" s="1"/>
  <c r="H24" i="6" s="1"/>
  <c r="G38" i="4"/>
  <c r="J38" i="4" s="1"/>
  <c r="H16" i="2"/>
  <c r="K16" i="2" s="1"/>
  <c r="L16" i="2" s="1"/>
  <c r="H20" i="2"/>
  <c r="K20" i="2" s="1"/>
  <c r="L20" i="2" s="1"/>
  <c r="H24" i="2"/>
  <c r="K24" i="2" s="1"/>
  <c r="L24" i="2" s="1"/>
  <c r="H28" i="2"/>
  <c r="K28" i="2" s="1"/>
  <c r="L28" i="2" s="1"/>
  <c r="G32" i="4"/>
  <c r="J32" i="4" s="1"/>
  <c r="N32" i="4" s="1"/>
  <c r="H32" i="6" s="1"/>
  <c r="H12" i="2"/>
  <c r="G5" i="4"/>
  <c r="J5" i="4" s="1"/>
  <c r="N5" i="4" s="1"/>
  <c r="H5" i="6" s="1"/>
  <c r="P5" i="4"/>
  <c r="O8" i="4"/>
  <c r="G15" i="4"/>
  <c r="J15" i="4" s="1"/>
  <c r="N15" i="4" s="1"/>
  <c r="H15" i="6" s="1"/>
  <c r="D8" i="3"/>
  <c r="F8" i="3" s="1"/>
  <c r="M10" i="4"/>
  <c r="G11" i="4"/>
  <c r="J11" i="4" s="1"/>
  <c r="N11" i="4" s="1"/>
  <c r="H11" i="6" s="1"/>
  <c r="G19" i="4"/>
  <c r="J19" i="4" s="1"/>
  <c r="N19" i="4" s="1"/>
  <c r="H19" i="6" s="1"/>
  <c r="R19" i="5"/>
  <c r="K19" i="6" s="1"/>
  <c r="R14" i="5"/>
  <c r="K14" i="6" s="1"/>
  <c r="R12" i="5"/>
  <c r="K12" i="6" s="1"/>
  <c r="R10" i="5"/>
  <c r="K10" i="6" s="1"/>
  <c r="M32" i="4"/>
  <c r="R16" i="5"/>
  <c r="K16" i="6" s="1"/>
  <c r="R8" i="5"/>
  <c r="K8" i="6" s="1"/>
  <c r="M31" i="4"/>
  <c r="M30" i="4"/>
  <c r="R6" i="5"/>
  <c r="K6" i="6" s="1"/>
  <c r="M29" i="4"/>
  <c r="R18" i="5"/>
  <c r="K18" i="6" s="1"/>
  <c r="M28" i="4"/>
  <c r="R4" i="5"/>
  <c r="K4" i="6" s="1"/>
  <c r="M39" i="4"/>
  <c r="M27" i="4"/>
  <c r="R15" i="5"/>
  <c r="K15" i="6" s="1"/>
  <c r="R13" i="5"/>
  <c r="K13" i="6" s="1"/>
  <c r="R11" i="5"/>
  <c r="K11" i="6" s="1"/>
  <c r="R9" i="5"/>
  <c r="K9" i="6" s="1"/>
  <c r="M38" i="4"/>
  <c r="M22" i="4"/>
  <c r="P18" i="4"/>
  <c r="M9" i="4"/>
  <c r="P6" i="4"/>
  <c r="M34" i="4"/>
  <c r="M24" i="4"/>
  <c r="M23" i="4"/>
  <c r="M20" i="4"/>
  <c r="P17" i="4"/>
  <c r="M8" i="4"/>
  <c r="R20" i="5"/>
  <c r="K20" i="6" s="1"/>
  <c r="M35" i="4"/>
  <c r="M25" i="4"/>
  <c r="M19" i="4"/>
  <c r="P16" i="4"/>
  <c r="M7" i="4"/>
  <c r="P4" i="4"/>
  <c r="R17" i="5"/>
  <c r="K17" i="6" s="1"/>
  <c r="M36" i="4"/>
  <c r="M18" i="4"/>
  <c r="P15" i="4"/>
  <c r="R5" i="5"/>
  <c r="K5" i="6" s="1"/>
  <c r="M37" i="4"/>
  <c r="M26" i="4"/>
  <c r="M17" i="4"/>
  <c r="P14" i="4"/>
  <c r="M16" i="4"/>
  <c r="P13" i="4"/>
  <c r="M4" i="4"/>
  <c r="M15" i="4"/>
  <c r="P12" i="4"/>
  <c r="M14" i="4"/>
  <c r="P11" i="4"/>
  <c r="M13" i="4"/>
  <c r="P10" i="4"/>
  <c r="P22" i="4"/>
  <c r="M12" i="4"/>
  <c r="P9" i="4"/>
  <c r="R7" i="5"/>
  <c r="K7" i="6" s="1"/>
  <c r="M33" i="4"/>
  <c r="P20" i="4"/>
  <c r="M11" i="4"/>
  <c r="P8" i="4"/>
  <c r="P19" i="4"/>
  <c r="D7" i="3"/>
  <c r="AI7" i="3" s="1"/>
  <c r="E41" i="4"/>
  <c r="AM5" i="3"/>
  <c r="D11" i="3"/>
  <c r="AF11" i="3" s="1"/>
  <c r="M6" i="4"/>
  <c r="O39" i="5"/>
  <c r="O38" i="5"/>
  <c r="O37" i="5"/>
  <c r="O36" i="5"/>
  <c r="O35" i="5"/>
  <c r="O34" i="5"/>
  <c r="O33" i="5"/>
  <c r="O32" i="5"/>
  <c r="O31" i="5"/>
  <c r="P5" i="5"/>
  <c r="I5" i="6" s="1"/>
  <c r="O30" i="5"/>
  <c r="O26" i="5"/>
  <c r="O22" i="5"/>
  <c r="P19" i="5"/>
  <c r="I19" i="6" s="1"/>
  <c r="P14" i="5"/>
  <c r="I14" i="6" s="1"/>
  <c r="P12" i="5"/>
  <c r="I12" i="6" s="1"/>
  <c r="P10" i="5"/>
  <c r="I10" i="6" s="1"/>
  <c r="P16" i="5"/>
  <c r="I16" i="6" s="1"/>
  <c r="P8" i="5"/>
  <c r="I8" i="6" s="1"/>
  <c r="O29" i="5"/>
  <c r="O25" i="5"/>
  <c r="P21" i="5"/>
  <c r="I21" i="6" s="1"/>
  <c r="P6" i="5"/>
  <c r="I6" i="6" s="1"/>
  <c r="P18" i="5"/>
  <c r="I18" i="6" s="1"/>
  <c r="P7" i="5"/>
  <c r="I7" i="6" s="1"/>
  <c r="P4" i="5"/>
  <c r="O27" i="5"/>
  <c r="P11" i="5"/>
  <c r="I11" i="6" s="1"/>
  <c r="O28" i="5"/>
  <c r="P20" i="5"/>
  <c r="I20" i="6" s="1"/>
  <c r="P17" i="5"/>
  <c r="I17" i="6" s="1"/>
  <c r="P15" i="5"/>
  <c r="I15" i="6" s="1"/>
  <c r="P9" i="5"/>
  <c r="I9" i="6" s="1"/>
  <c r="O23" i="5"/>
  <c r="O24" i="5"/>
  <c r="P13" i="5"/>
  <c r="I13" i="6" s="1"/>
  <c r="N5" i="3"/>
  <c r="AA5" i="3"/>
  <c r="G4" i="4"/>
  <c r="O6" i="4"/>
  <c r="J14" i="4"/>
  <c r="N14" i="4" s="1"/>
  <c r="H14" i="6" s="1"/>
  <c r="G17" i="4"/>
  <c r="J17" i="4" s="1"/>
  <c r="N17" i="4" s="1"/>
  <c r="H17" i="6" s="1"/>
  <c r="AD5" i="3"/>
  <c r="AJ5" i="3"/>
  <c r="L5" i="3"/>
  <c r="O5" i="3"/>
  <c r="AB5" i="3"/>
  <c r="M5" i="4"/>
  <c r="G7" i="4"/>
  <c r="J7" i="4" s="1"/>
  <c r="N7" i="4" s="1"/>
  <c r="H7" i="6" s="1"/>
  <c r="C5" i="8" s="1"/>
  <c r="D4" i="3"/>
  <c r="Q4" i="3" s="1"/>
  <c r="G10" i="4"/>
  <c r="J10" i="4" s="1"/>
  <c r="N10" i="4" s="1"/>
  <c r="H10" i="6" s="1"/>
  <c r="G12" i="4"/>
  <c r="J12" i="4" s="1"/>
  <c r="N12" i="4" s="1"/>
  <c r="H12" i="6" s="1"/>
  <c r="G18" i="4"/>
  <c r="J18" i="4" s="1"/>
  <c r="N18" i="4" s="1"/>
  <c r="H18" i="6" s="1"/>
  <c r="G25" i="4"/>
  <c r="J25" i="4" s="1"/>
  <c r="N25" i="4" s="1"/>
  <c r="H25" i="6" s="1"/>
  <c r="O25" i="4"/>
  <c r="G30" i="4"/>
  <c r="J30" i="4" s="1"/>
  <c r="N30" i="4" s="1"/>
  <c r="H30" i="6" s="1"/>
  <c r="D10" i="3"/>
  <c r="AA10" i="3" s="1"/>
  <c r="D13" i="3"/>
  <c r="O13" i="3" s="1"/>
  <c r="O13" i="4"/>
  <c r="O14" i="4"/>
  <c r="O32" i="4"/>
  <c r="G29" i="4"/>
  <c r="J29" i="4" s="1"/>
  <c r="N29" i="4" s="1"/>
  <c r="H29" i="6" s="1"/>
  <c r="G31" i="4"/>
  <c r="J31" i="4" s="1"/>
  <c r="N31" i="4" s="1"/>
  <c r="H31" i="6" s="1"/>
  <c r="O37" i="4"/>
  <c r="O26" i="4"/>
  <c r="O38" i="4"/>
  <c r="AN8" i="3" l="1"/>
  <c r="AA8" i="3"/>
  <c r="Y8" i="3"/>
  <c r="W8" i="3"/>
  <c r="AL8" i="3"/>
  <c r="AH8" i="3"/>
  <c r="U8" i="3"/>
  <c r="I8" i="3"/>
  <c r="AO8" i="3"/>
  <c r="X5" i="3"/>
  <c r="F23" i="7"/>
  <c r="Z5" i="3"/>
  <c r="P5" i="3"/>
  <c r="AN5" i="3"/>
  <c r="AC5" i="3"/>
  <c r="M5" i="3"/>
  <c r="AO5" i="3"/>
  <c r="C7" i="8"/>
  <c r="T5" i="3"/>
  <c r="AJ9" i="3"/>
  <c r="U9" i="3"/>
  <c r="G9" i="3"/>
  <c r="Q5" i="3"/>
  <c r="M9" i="3"/>
  <c r="AF5" i="3"/>
  <c r="AN9" i="3"/>
  <c r="AK12" i="3"/>
  <c r="P23" i="4"/>
  <c r="AE5" i="3"/>
  <c r="AG5" i="3"/>
  <c r="N36" i="4"/>
  <c r="H36" i="6" s="1"/>
  <c r="P36" i="4"/>
  <c r="R5" i="3"/>
  <c r="AE9" i="3"/>
  <c r="H9" i="3"/>
  <c r="AD9" i="3"/>
  <c r="Y9" i="3"/>
  <c r="X9" i="3"/>
  <c r="T9" i="3"/>
  <c r="K9" i="3"/>
  <c r="AC9" i="3"/>
  <c r="O6" i="3"/>
  <c r="C11" i="8"/>
  <c r="AG9" i="3"/>
  <c r="Z8" i="3"/>
  <c r="S5" i="3"/>
  <c r="W5" i="3"/>
  <c r="AI5" i="3"/>
  <c r="I9" i="3"/>
  <c r="AL5" i="3"/>
  <c r="J5" i="3"/>
  <c r="P39" i="4"/>
  <c r="V5" i="3"/>
  <c r="K11" i="2"/>
  <c r="L11" i="2" s="1"/>
  <c r="AK9" i="3"/>
  <c r="AF9" i="3"/>
  <c r="H8" i="3"/>
  <c r="AI8" i="3"/>
  <c r="AK5" i="3"/>
  <c r="AL9" i="3"/>
  <c r="F5" i="3"/>
  <c r="W9" i="3"/>
  <c r="AO9" i="3"/>
  <c r="AM8" i="3"/>
  <c r="J9" i="3"/>
  <c r="Y5" i="3"/>
  <c r="I5" i="3"/>
  <c r="AA9" i="3"/>
  <c r="H8" i="2"/>
  <c r="B6" i="9" s="1"/>
  <c r="AH9" i="3"/>
  <c r="F9" i="3"/>
  <c r="AI9" i="3"/>
  <c r="V8" i="3"/>
  <c r="Z9" i="3"/>
  <c r="Z7" i="3"/>
  <c r="AM9" i="3"/>
  <c r="AK8" i="3"/>
  <c r="K5" i="3"/>
  <c r="U5" i="3"/>
  <c r="AB9" i="3"/>
  <c r="L9" i="3"/>
  <c r="P35" i="4"/>
  <c r="W12" i="3"/>
  <c r="AN4" i="3"/>
  <c r="AG12" i="3"/>
  <c r="AN12" i="3"/>
  <c r="AA12" i="3"/>
  <c r="Y12" i="3"/>
  <c r="AB12" i="3"/>
  <c r="L12" i="3"/>
  <c r="J16" i="4"/>
  <c r="N16" i="4" s="1"/>
  <c r="H16" i="6" s="1"/>
  <c r="C8" i="8" s="1"/>
  <c r="J12" i="3"/>
  <c r="P26" i="4"/>
  <c r="M12" i="3"/>
  <c r="AO12" i="3"/>
  <c r="P24" i="4"/>
  <c r="G12" i="3"/>
  <c r="Z12" i="3"/>
  <c r="AE12" i="3"/>
  <c r="N34" i="4"/>
  <c r="H34" i="6" s="1"/>
  <c r="P34" i="4"/>
  <c r="AC6" i="3"/>
  <c r="AB6" i="3"/>
  <c r="E17" i="7"/>
  <c r="AD6" i="3"/>
  <c r="AN6" i="3"/>
  <c r="E23" i="7"/>
  <c r="T6" i="3"/>
  <c r="P28" i="4"/>
  <c r="E15" i="7"/>
  <c r="S6" i="3"/>
  <c r="AF6" i="3"/>
  <c r="E12" i="3"/>
  <c r="Q12" i="3" s="1"/>
  <c r="E18" i="7"/>
  <c r="AG6" i="3"/>
  <c r="AE6" i="3"/>
  <c r="J6" i="3"/>
  <c r="E21" i="7"/>
  <c r="G6" i="3"/>
  <c r="E16" i="7"/>
  <c r="AI6" i="3"/>
  <c r="F6" i="3"/>
  <c r="E19" i="7"/>
  <c r="W6" i="3"/>
  <c r="E22" i="7"/>
  <c r="AJ6" i="3"/>
  <c r="K6" i="3"/>
  <c r="U6" i="3"/>
  <c r="H6" i="3"/>
  <c r="E20" i="7"/>
  <c r="AO6" i="3"/>
  <c r="AA6" i="3"/>
  <c r="N37" i="4"/>
  <c r="H37" i="6" s="1"/>
  <c r="P37" i="4"/>
  <c r="H12" i="3"/>
  <c r="AL12" i="3"/>
  <c r="AF12" i="3"/>
  <c r="I12" i="3"/>
  <c r="X12" i="3"/>
  <c r="AC12" i="3"/>
  <c r="O15" i="4"/>
  <c r="Q6" i="3"/>
  <c r="X6" i="3"/>
  <c r="L6" i="3"/>
  <c r="AH12" i="3"/>
  <c r="R6" i="3"/>
  <c r="Y6" i="3"/>
  <c r="AI12" i="3"/>
  <c r="U12" i="3"/>
  <c r="AL6" i="3"/>
  <c r="F12" i="3"/>
  <c r="AJ12" i="3"/>
  <c r="N4" i="3"/>
  <c r="AD12" i="3"/>
  <c r="V12" i="3"/>
  <c r="N6" i="3"/>
  <c r="AK6" i="3"/>
  <c r="E9" i="3"/>
  <c r="O9" i="3" s="1"/>
  <c r="C10" i="8"/>
  <c r="AM12" i="3"/>
  <c r="AH6" i="3"/>
  <c r="M6" i="3"/>
  <c r="K12" i="3"/>
  <c r="P6" i="3"/>
  <c r="Z6" i="3"/>
  <c r="X8" i="3"/>
  <c r="V6" i="3"/>
  <c r="E4" i="3"/>
  <c r="G4" i="3" s="1"/>
  <c r="E11" i="3"/>
  <c r="T11" i="3" s="1"/>
  <c r="H39" i="2"/>
  <c r="AB13" i="3"/>
  <c r="G11" i="3"/>
  <c r="F16" i="7"/>
  <c r="F20" i="7"/>
  <c r="K29" i="2"/>
  <c r="L29" i="2" s="1"/>
  <c r="F19" i="7"/>
  <c r="K11" i="3"/>
  <c r="AJ8" i="3"/>
  <c r="E5" i="3"/>
  <c r="AI11" i="3"/>
  <c r="P33" i="4"/>
  <c r="K17" i="2"/>
  <c r="L17" i="2" s="1"/>
  <c r="E8" i="3"/>
  <c r="R8" i="3" s="1"/>
  <c r="G8" i="3"/>
  <c r="N38" i="4"/>
  <c r="H38" i="6" s="1"/>
  <c r="P38" i="4"/>
  <c r="O11" i="4"/>
  <c r="K19" i="2"/>
  <c r="L19" i="2" s="1"/>
  <c r="F25" i="7"/>
  <c r="E10" i="3"/>
  <c r="N10" i="3" s="1"/>
  <c r="M4" i="3"/>
  <c r="F7" i="3"/>
  <c r="L23" i="2"/>
  <c r="K15" i="2"/>
  <c r="L15" i="2" s="1"/>
  <c r="C12" i="8"/>
  <c r="O10" i="4"/>
  <c r="E7" i="3"/>
  <c r="I7" i="3" s="1"/>
  <c r="F21" i="7"/>
  <c r="F22" i="7"/>
  <c r="AM13" i="3"/>
  <c r="AD4" i="3"/>
  <c r="K12" i="2"/>
  <c r="L12" i="2" s="1"/>
  <c r="F17" i="7"/>
  <c r="D30" i="2"/>
  <c r="H30" i="2" s="1"/>
  <c r="D31" i="2" s="1"/>
  <c r="H31" i="2" s="1"/>
  <c r="F24" i="7"/>
  <c r="AM4" i="3"/>
  <c r="O9" i="4"/>
  <c r="C13" i="8"/>
  <c r="Z10" i="3"/>
  <c r="J11" i="3"/>
  <c r="F18" i="7"/>
  <c r="P31" i="4"/>
  <c r="AG7" i="3"/>
  <c r="AC8" i="3"/>
  <c r="P4" i="3"/>
  <c r="V11" i="3"/>
  <c r="P30" i="4"/>
  <c r="AH7" i="3"/>
  <c r="G7" i="3"/>
  <c r="AM7" i="3"/>
  <c r="AB4" i="3"/>
  <c r="AH11" i="3"/>
  <c r="U7" i="3"/>
  <c r="O7" i="3"/>
  <c r="H7" i="3"/>
  <c r="O18" i="4"/>
  <c r="AD7" i="3"/>
  <c r="AE8" i="3"/>
  <c r="P13" i="3"/>
  <c r="AA13" i="3"/>
  <c r="C6" i="8"/>
  <c r="AO7" i="3"/>
  <c r="M7" i="3"/>
  <c r="O17" i="4"/>
  <c r="P7" i="3"/>
  <c r="W11" i="3"/>
  <c r="P27" i="4"/>
  <c r="Q7" i="3"/>
  <c r="V7" i="3"/>
  <c r="I4" i="6"/>
  <c r="O5" i="4"/>
  <c r="AJ13" i="3"/>
  <c r="U13" i="3"/>
  <c r="F13" i="3"/>
  <c r="G13" i="3"/>
  <c r="AI13" i="3"/>
  <c r="T13" i="3"/>
  <c r="AH13" i="3"/>
  <c r="S13" i="3"/>
  <c r="AG13" i="3"/>
  <c r="R13" i="3"/>
  <c r="AF13" i="3"/>
  <c r="Q13" i="3"/>
  <c r="AE13" i="3"/>
  <c r="M13" i="3"/>
  <c r="AD13" i="3"/>
  <c r="L13" i="3"/>
  <c r="AC13" i="3"/>
  <c r="K13" i="3"/>
  <c r="V13" i="3"/>
  <c r="Y13" i="3"/>
  <c r="J13" i="3"/>
  <c r="AK13" i="3"/>
  <c r="X13" i="3"/>
  <c r="I13" i="3"/>
  <c r="AO13" i="3"/>
  <c r="W13" i="3"/>
  <c r="H13" i="3"/>
  <c r="AL13" i="3"/>
  <c r="AA7" i="3"/>
  <c r="AL7" i="3"/>
  <c r="AN13" i="3"/>
  <c r="AB10" i="3"/>
  <c r="N7" i="3"/>
  <c r="O12" i="4"/>
  <c r="Y7" i="3"/>
  <c r="X7" i="3"/>
  <c r="AN7" i="3"/>
  <c r="L11" i="3"/>
  <c r="P25" i="4"/>
  <c r="C9" i="8"/>
  <c r="AD8" i="3"/>
  <c r="AC4" i="3"/>
  <c r="O4" i="3"/>
  <c r="AI4" i="3"/>
  <c r="V4" i="3"/>
  <c r="R4" i="3"/>
  <c r="Y4" i="3"/>
  <c r="AL4" i="3"/>
  <c r="L4" i="3"/>
  <c r="AJ4" i="3"/>
  <c r="W4" i="3"/>
  <c r="J4" i="3"/>
  <c r="I4" i="3"/>
  <c r="AH4" i="3"/>
  <c r="U4" i="3"/>
  <c r="H4" i="3"/>
  <c r="AG4" i="3"/>
  <c r="T4" i="3"/>
  <c r="AE4" i="3"/>
  <c r="AF4" i="3"/>
  <c r="S4" i="3"/>
  <c r="AM10" i="3"/>
  <c r="Z13" i="3"/>
  <c r="N13" i="3"/>
  <c r="AN11" i="3"/>
  <c r="T7" i="3"/>
  <c r="L7" i="3"/>
  <c r="X11" i="3"/>
  <c r="O19" i="4"/>
  <c r="L9" i="2"/>
  <c r="I6" i="3"/>
  <c r="AF10" i="3"/>
  <c r="AE10" i="3"/>
  <c r="M10" i="3"/>
  <c r="AD10" i="3"/>
  <c r="L10" i="3"/>
  <c r="AC10" i="3"/>
  <c r="K10" i="3"/>
  <c r="G10" i="3"/>
  <c r="Y10" i="3"/>
  <c r="J10" i="3"/>
  <c r="AG10" i="3"/>
  <c r="X10" i="3"/>
  <c r="I10" i="3"/>
  <c r="AO10" i="3"/>
  <c r="W10" i="3"/>
  <c r="H10" i="3"/>
  <c r="AK10" i="3"/>
  <c r="V10" i="3"/>
  <c r="AJ10" i="3"/>
  <c r="U10" i="3"/>
  <c r="F10" i="3"/>
  <c r="AI10" i="3"/>
  <c r="AH10" i="3"/>
  <c r="AL10" i="3"/>
  <c r="Y11" i="3"/>
  <c r="AN10" i="3"/>
  <c r="J4" i="4"/>
  <c r="O4" i="4"/>
  <c r="AK11" i="3"/>
  <c r="AJ11" i="3"/>
  <c r="AK4" i="3"/>
  <c r="AB8" i="3"/>
  <c r="AB7" i="3"/>
  <c r="AJ7" i="3"/>
  <c r="X4" i="3"/>
  <c r="AF8" i="3"/>
  <c r="AE7" i="3"/>
  <c r="AO4" i="3"/>
  <c r="W7" i="3"/>
  <c r="K4" i="3"/>
  <c r="P32" i="4"/>
  <c r="AG8" i="3"/>
  <c r="S8" i="3"/>
  <c r="AF7" i="3"/>
  <c r="R7" i="3"/>
  <c r="AK7" i="3"/>
  <c r="O7" i="4"/>
  <c r="AM11" i="3"/>
  <c r="F11" i="3"/>
  <c r="AO11" i="3"/>
  <c r="AL11" i="3"/>
  <c r="AG11" i="3"/>
  <c r="AE11" i="3"/>
  <c r="AD11" i="3"/>
  <c r="O11" i="3"/>
  <c r="AC11" i="3"/>
  <c r="N11" i="3"/>
  <c r="AB11" i="3"/>
  <c r="M11" i="3"/>
  <c r="Z11" i="3"/>
  <c r="AA11" i="3"/>
  <c r="I11" i="3"/>
  <c r="H11" i="3"/>
  <c r="AC7" i="3"/>
  <c r="AA4" i="3"/>
  <c r="Z4" i="3"/>
  <c r="P29" i="4"/>
  <c r="T8" i="3"/>
  <c r="S7" i="3"/>
  <c r="F4" i="3" l="1"/>
  <c r="C14" i="8"/>
  <c r="Q8" i="3"/>
  <c r="Q9" i="3"/>
  <c r="R12" i="3"/>
  <c r="R10" i="3"/>
  <c r="U11" i="3"/>
  <c r="U14" i="3" s="1"/>
  <c r="E19" i="5" s="1"/>
  <c r="T12" i="3"/>
  <c r="S12" i="3"/>
  <c r="P9" i="3"/>
  <c r="S9" i="3"/>
  <c r="P11" i="3"/>
  <c r="Q11" i="3"/>
  <c r="S11" i="3"/>
  <c r="R9" i="3"/>
  <c r="R11" i="3"/>
  <c r="N9" i="3"/>
  <c r="C15" i="8"/>
  <c r="J7" i="3"/>
  <c r="K7" i="3"/>
  <c r="P12" i="3"/>
  <c r="O12" i="3"/>
  <c r="S10" i="3"/>
  <c r="P10" i="3"/>
  <c r="T10" i="3"/>
  <c r="Q10" i="3"/>
  <c r="N8" i="3"/>
  <c r="K8" i="3"/>
  <c r="J8" i="3"/>
  <c r="P8" i="3"/>
  <c r="M8" i="3"/>
  <c r="M14" i="3" s="1"/>
  <c r="E11" i="5" s="1"/>
  <c r="L8" i="3"/>
  <c r="L14" i="3" s="1"/>
  <c r="E10" i="5" s="1"/>
  <c r="K40" i="2"/>
  <c r="AD14" i="3"/>
  <c r="E28" i="5" s="1"/>
  <c r="C28" i="6" s="1"/>
  <c r="E28" i="6" s="1"/>
  <c r="O8" i="3"/>
  <c r="H5" i="3"/>
  <c r="H14" i="3" s="1"/>
  <c r="E6" i="5" s="1"/>
  <c r="G5" i="3"/>
  <c r="G14" i="3" s="1"/>
  <c r="E5" i="5" s="1"/>
  <c r="O10" i="3"/>
  <c r="K39" i="2"/>
  <c r="D32" i="2"/>
  <c r="H32" i="2" s="1"/>
  <c r="D33" i="2" s="1"/>
  <c r="H33" i="2" s="1"/>
  <c r="E14" i="3" s="1"/>
  <c r="I14" i="3"/>
  <c r="E7" i="5" s="1"/>
  <c r="AH14" i="3"/>
  <c r="E32" i="5" s="1"/>
  <c r="L41" i="2"/>
  <c r="L39" i="2"/>
  <c r="F14" i="3"/>
  <c r="E4" i="5" s="1"/>
  <c r="W14" i="3"/>
  <c r="E21" i="5" s="1"/>
  <c r="X14" i="3"/>
  <c r="E22" i="5" s="1"/>
  <c r="AJ14" i="3"/>
  <c r="E34" i="5" s="1"/>
  <c r="AC14" i="3"/>
  <c r="E27" i="5" s="1"/>
  <c r="AB14" i="3"/>
  <c r="E26" i="5" s="1"/>
  <c r="AF14" i="3"/>
  <c r="E30" i="5" s="1"/>
  <c r="J41" i="4"/>
  <c r="B4" i="9" s="1"/>
  <c r="K34" i="4"/>
  <c r="L34" i="4" s="1"/>
  <c r="K34" i="5" s="1"/>
  <c r="K22" i="4"/>
  <c r="L22" i="4" s="1"/>
  <c r="K22" i="5" s="1"/>
  <c r="K33" i="4"/>
  <c r="L33" i="4" s="1"/>
  <c r="K33" i="5" s="1"/>
  <c r="K32" i="4"/>
  <c r="L32" i="4" s="1"/>
  <c r="K32" i="5" s="1"/>
  <c r="K31" i="4"/>
  <c r="L31" i="4" s="1"/>
  <c r="K31" i="5" s="1"/>
  <c r="K30" i="4"/>
  <c r="L30" i="4" s="1"/>
  <c r="K30" i="5" s="1"/>
  <c r="K29" i="4"/>
  <c r="L29" i="4" s="1"/>
  <c r="K29" i="5" s="1"/>
  <c r="K39" i="4"/>
  <c r="L39" i="4" s="1"/>
  <c r="K39" i="5" s="1"/>
  <c r="K11" i="4"/>
  <c r="L11" i="4" s="1"/>
  <c r="K11" i="5" s="1"/>
  <c r="K10" i="4"/>
  <c r="L10" i="4" s="1"/>
  <c r="K10" i="5" s="1"/>
  <c r="K21" i="4"/>
  <c r="L21" i="4" s="1"/>
  <c r="K9" i="4"/>
  <c r="L9" i="4" s="1"/>
  <c r="K9" i="5" s="1"/>
  <c r="K24" i="4"/>
  <c r="L24" i="4" s="1"/>
  <c r="K24" i="5" s="1"/>
  <c r="K23" i="4"/>
  <c r="L23" i="4" s="1"/>
  <c r="K23" i="5" s="1"/>
  <c r="K20" i="4"/>
  <c r="L20" i="4" s="1"/>
  <c r="K20" i="5" s="1"/>
  <c r="K35" i="4"/>
  <c r="L35" i="4" s="1"/>
  <c r="K35" i="5" s="1"/>
  <c r="K25" i="4"/>
  <c r="L25" i="4" s="1"/>
  <c r="K25" i="5" s="1"/>
  <c r="K19" i="4"/>
  <c r="L19" i="4" s="1"/>
  <c r="K19" i="5" s="1"/>
  <c r="K36" i="4"/>
  <c r="L36" i="4" s="1"/>
  <c r="K36" i="5" s="1"/>
  <c r="K18" i="4"/>
  <c r="L18" i="4" s="1"/>
  <c r="K18" i="5" s="1"/>
  <c r="K6" i="4"/>
  <c r="L6" i="4" s="1"/>
  <c r="K6" i="5" s="1"/>
  <c r="K37" i="4"/>
  <c r="L37" i="4" s="1"/>
  <c r="K37" i="5" s="1"/>
  <c r="K26" i="4"/>
  <c r="L26" i="4" s="1"/>
  <c r="K26" i="5" s="1"/>
  <c r="K17" i="4"/>
  <c r="L17" i="4" s="1"/>
  <c r="K17" i="5" s="1"/>
  <c r="K27" i="4"/>
  <c r="L27" i="4" s="1"/>
  <c r="K27" i="5" s="1"/>
  <c r="K16" i="4"/>
  <c r="L16" i="4" s="1"/>
  <c r="K16" i="5" s="1"/>
  <c r="K15" i="4"/>
  <c r="L15" i="4" s="1"/>
  <c r="K15" i="5" s="1"/>
  <c r="K38" i="4"/>
  <c r="L38" i="4" s="1"/>
  <c r="K38" i="5" s="1"/>
  <c r="K28" i="4"/>
  <c r="L28" i="4" s="1"/>
  <c r="K28" i="5" s="1"/>
  <c r="K14" i="4"/>
  <c r="L14" i="4" s="1"/>
  <c r="K14" i="5" s="1"/>
  <c r="K13" i="4"/>
  <c r="L13" i="4" s="1"/>
  <c r="K13" i="5" s="1"/>
  <c r="K8" i="4"/>
  <c r="L8" i="4" s="1"/>
  <c r="K8" i="5" s="1"/>
  <c r="K4" i="4"/>
  <c r="K5" i="4"/>
  <c r="L5" i="4" s="1"/>
  <c r="K5" i="5" s="1"/>
  <c r="K12" i="4"/>
  <c r="L12" i="4" s="1"/>
  <c r="K12" i="5" s="1"/>
  <c r="K7" i="4"/>
  <c r="L7" i="4" s="1"/>
  <c r="K7" i="5" s="1"/>
  <c r="N4" i="4"/>
  <c r="AE14" i="3"/>
  <c r="E29" i="5" s="1"/>
  <c r="AL14" i="3"/>
  <c r="E36" i="5" s="1"/>
  <c r="AM14" i="3"/>
  <c r="E37" i="5" s="1"/>
  <c r="AO14" i="3"/>
  <c r="E39" i="5" s="1"/>
  <c r="Y14" i="3"/>
  <c r="E23" i="5" s="1"/>
  <c r="Z14" i="3"/>
  <c r="E24" i="5" s="1"/>
  <c r="AN14" i="3"/>
  <c r="E38" i="5" s="1"/>
  <c r="AG14" i="3"/>
  <c r="E31" i="5" s="1"/>
  <c r="V14" i="3"/>
  <c r="E20" i="5" s="1"/>
  <c r="AA14" i="3"/>
  <c r="E25" i="5" s="1"/>
  <c r="AI14" i="3"/>
  <c r="E33" i="5" s="1"/>
  <c r="AK14" i="3"/>
  <c r="E35" i="5" s="1"/>
  <c r="Q14" i="3" l="1"/>
  <c r="E15" i="5" s="1"/>
  <c r="T14" i="3"/>
  <c r="E18" i="5" s="1"/>
  <c r="C18" i="6" s="1"/>
  <c r="R14" i="3"/>
  <c r="E16" i="5" s="1"/>
  <c r="C16" i="6" s="1"/>
  <c r="N14" i="3"/>
  <c r="E12" i="5" s="1"/>
  <c r="C12" i="6" s="1"/>
  <c r="J14" i="3"/>
  <c r="E8" i="5" s="1"/>
  <c r="C8" i="6" s="1"/>
  <c r="K14" i="3"/>
  <c r="E9" i="5" s="1"/>
  <c r="C9" i="6" s="1"/>
  <c r="S14" i="3"/>
  <c r="E17" i="5" s="1"/>
  <c r="C17" i="6" s="1"/>
  <c r="O14" i="3"/>
  <c r="E13" i="5" s="1"/>
  <c r="C13" i="6" s="1"/>
  <c r="P14" i="3"/>
  <c r="E14" i="5" s="1"/>
  <c r="C14" i="6" s="1"/>
  <c r="AF16" i="3"/>
  <c r="D30" i="5" s="1"/>
  <c r="U16" i="3"/>
  <c r="D19" i="5" s="1"/>
  <c r="AD16" i="3"/>
  <c r="D28" i="5" s="1"/>
  <c r="G28" i="5"/>
  <c r="F28" i="6" s="1"/>
  <c r="G20" i="5"/>
  <c r="F20" i="6" s="1"/>
  <c r="C20" i="6"/>
  <c r="E20" i="6" s="1"/>
  <c r="G36" i="5"/>
  <c r="F36" i="6" s="1"/>
  <c r="C36" i="6"/>
  <c r="E36" i="6" s="1"/>
  <c r="C27" i="6"/>
  <c r="E27" i="6" s="1"/>
  <c r="G27" i="5"/>
  <c r="F27" i="6" s="1"/>
  <c r="G21" i="5"/>
  <c r="F21" i="6" s="1"/>
  <c r="C21" i="6"/>
  <c r="E21" i="6" s="1"/>
  <c r="C19" i="6"/>
  <c r="V16" i="3"/>
  <c r="D20" i="5" s="1"/>
  <c r="T16" i="3"/>
  <c r="D18" i="5" s="1"/>
  <c r="AL16" i="3"/>
  <c r="D36" i="5" s="1"/>
  <c r="AC16" i="3"/>
  <c r="D27" i="5" s="1"/>
  <c r="W16" i="3"/>
  <c r="D21" i="5" s="1"/>
  <c r="C31" i="6"/>
  <c r="E31" i="6" s="1"/>
  <c r="G31" i="5"/>
  <c r="F31" i="6" s="1"/>
  <c r="F16" i="3"/>
  <c r="D4" i="5" s="1"/>
  <c r="Q16" i="3"/>
  <c r="D15" i="5" s="1"/>
  <c r="H34" i="2"/>
  <c r="C29" i="6"/>
  <c r="E29" i="6" s="1"/>
  <c r="G29" i="5"/>
  <c r="F29" i="6" s="1"/>
  <c r="AG16" i="3"/>
  <c r="D31" i="5" s="1"/>
  <c r="B12" i="9"/>
  <c r="G34" i="5"/>
  <c r="F34" i="6" s="1"/>
  <c r="C34" i="6"/>
  <c r="E34" i="6" s="1"/>
  <c r="C4" i="6"/>
  <c r="C5" i="6"/>
  <c r="K21" i="5"/>
  <c r="M21" i="4"/>
  <c r="P21" i="4" s="1"/>
  <c r="C10" i="6"/>
  <c r="AJ16" i="3"/>
  <c r="D34" i="5" s="1"/>
  <c r="H4" i="6"/>
  <c r="N41" i="4"/>
  <c r="D35" i="2" s="1"/>
  <c r="H35" i="2" s="1"/>
  <c r="L16" i="3"/>
  <c r="D10" i="5" s="1"/>
  <c r="C23" i="6"/>
  <c r="E23" i="6" s="1"/>
  <c r="G23" i="5"/>
  <c r="F23" i="6" s="1"/>
  <c r="C39" i="6"/>
  <c r="E39" i="6" s="1"/>
  <c r="G39" i="5"/>
  <c r="F39" i="6" s="1"/>
  <c r="C6" i="6"/>
  <c r="C15" i="6"/>
  <c r="K41" i="4"/>
  <c r="L4" i="4"/>
  <c r="G32" i="5"/>
  <c r="F32" i="6" s="1"/>
  <c r="C32" i="6"/>
  <c r="E32" i="6" s="1"/>
  <c r="M16" i="3"/>
  <c r="D11" i="5" s="1"/>
  <c r="Y16" i="3"/>
  <c r="D23" i="5" s="1"/>
  <c r="G38" i="5"/>
  <c r="F38" i="6" s="1"/>
  <c r="C38" i="6"/>
  <c r="E38" i="6" s="1"/>
  <c r="C33" i="6"/>
  <c r="E33" i="6" s="1"/>
  <c r="G33" i="5"/>
  <c r="F33" i="6" s="1"/>
  <c r="C11" i="6"/>
  <c r="C30" i="6"/>
  <c r="E30" i="6" s="1"/>
  <c r="G30" i="5"/>
  <c r="F30" i="6" s="1"/>
  <c r="G22" i="5"/>
  <c r="F22" i="6" s="1"/>
  <c r="C22" i="6"/>
  <c r="E22" i="6" s="1"/>
  <c r="AH16" i="3"/>
  <c r="D32" i="5" s="1"/>
  <c r="G35" i="5"/>
  <c r="F35" i="6" s="1"/>
  <c r="C35" i="6"/>
  <c r="E35" i="6" s="1"/>
  <c r="AK16" i="3"/>
  <c r="D35" i="5" s="1"/>
  <c r="G16" i="3"/>
  <c r="D5" i="5" s="1"/>
  <c r="G24" i="5"/>
  <c r="F24" i="6" s="1"/>
  <c r="C24" i="6"/>
  <c r="E24" i="6" s="1"/>
  <c r="Z16" i="3"/>
  <c r="D24" i="5" s="1"/>
  <c r="G26" i="5"/>
  <c r="F26" i="6" s="1"/>
  <c r="C26" i="6"/>
  <c r="E26" i="6" s="1"/>
  <c r="X16" i="3"/>
  <c r="D22" i="5" s="1"/>
  <c r="C7" i="6"/>
  <c r="AN16" i="3"/>
  <c r="D38" i="5" s="1"/>
  <c r="AE16" i="3"/>
  <c r="D29" i="5" s="1"/>
  <c r="AI16" i="3"/>
  <c r="D33" i="5" s="1"/>
  <c r="AO16" i="3"/>
  <c r="D39" i="5" s="1"/>
  <c r="H16" i="3"/>
  <c r="D6" i="5" s="1"/>
  <c r="G25" i="5"/>
  <c r="F25" i="6" s="1"/>
  <c r="C25" i="6"/>
  <c r="E25" i="6" s="1"/>
  <c r="AA16" i="3"/>
  <c r="D25" i="5" s="1"/>
  <c r="G37" i="5"/>
  <c r="F37" i="6" s="1"/>
  <c r="C37" i="6"/>
  <c r="E37" i="6" s="1"/>
  <c r="AB16" i="3"/>
  <c r="D26" i="5" s="1"/>
  <c r="I16" i="3"/>
  <c r="D7" i="5" s="1"/>
  <c r="AM16" i="3"/>
  <c r="D37" i="5" s="1"/>
  <c r="R16" i="3" l="1"/>
  <c r="D16" i="5" s="1"/>
  <c r="N16" i="3"/>
  <c r="D12" i="5" s="1"/>
  <c r="S16" i="3"/>
  <c r="D17" i="5" s="1"/>
  <c r="O16" i="3"/>
  <c r="D13" i="5" s="1"/>
  <c r="J16" i="3"/>
  <c r="D8" i="5" s="1"/>
  <c r="K16" i="3"/>
  <c r="D9" i="5" s="1"/>
  <c r="P16" i="3"/>
  <c r="D14" i="5" s="1"/>
  <c r="H29" i="5"/>
  <c r="D11" i="8"/>
  <c r="G11" i="8" s="1"/>
  <c r="H24" i="5"/>
  <c r="H28" i="5"/>
  <c r="H20" i="5"/>
  <c r="H22" i="5"/>
  <c r="H25" i="5"/>
  <c r="H30" i="5"/>
  <c r="H32" i="5"/>
  <c r="D13" i="8"/>
  <c r="G13" i="8" s="1"/>
  <c r="H23" i="5"/>
  <c r="D12" i="8"/>
  <c r="G12" i="8" s="1"/>
  <c r="H26" i="5"/>
  <c r="B7" i="9"/>
  <c r="H27" i="5"/>
  <c r="C41" i="6"/>
  <c r="D14" i="8"/>
  <c r="G14" i="8" s="1"/>
  <c r="D10" i="8"/>
  <c r="G10" i="8" s="1"/>
  <c r="H34" i="5"/>
  <c r="H36" i="5"/>
  <c r="H37" i="5"/>
  <c r="F16" i="5"/>
  <c r="F14" i="5"/>
  <c r="F12" i="5"/>
  <c r="F10" i="5"/>
  <c r="F8" i="5"/>
  <c r="F18" i="5"/>
  <c r="F6" i="5"/>
  <c r="F4" i="5"/>
  <c r="F15" i="5"/>
  <c r="F13" i="5"/>
  <c r="F11" i="5"/>
  <c r="F9" i="5"/>
  <c r="F7" i="5"/>
  <c r="F19" i="5"/>
  <c r="F17" i="5"/>
  <c r="F5" i="5"/>
  <c r="H36" i="2"/>
  <c r="B8" i="9" s="1"/>
  <c r="H35" i="5"/>
  <c r="K4" i="5"/>
  <c r="L41" i="4"/>
  <c r="H39" i="5"/>
  <c r="C4" i="8"/>
  <c r="H41" i="6"/>
  <c r="H38" i="5"/>
  <c r="H33" i="5"/>
  <c r="D15" i="8"/>
  <c r="G15" i="8" s="1"/>
  <c r="H31" i="5"/>
  <c r="H21" i="5"/>
  <c r="D8" i="6" l="1"/>
  <c r="E8" i="6" s="1"/>
  <c r="G8" i="5"/>
  <c r="F8" i="6" s="1"/>
  <c r="D6" i="6"/>
  <c r="E6" i="6" s="1"/>
  <c r="G6" i="5"/>
  <c r="F6" i="6" s="1"/>
  <c r="D5" i="6"/>
  <c r="E5" i="6" s="1"/>
  <c r="G5" i="5"/>
  <c r="F5" i="6" s="1"/>
  <c r="D10" i="6"/>
  <c r="E10" i="6" s="1"/>
  <c r="G10" i="5"/>
  <c r="F10" i="6" s="1"/>
  <c r="D17" i="6"/>
  <c r="E17" i="6" s="1"/>
  <c r="G17" i="5"/>
  <c r="F17" i="6" s="1"/>
  <c r="D12" i="6"/>
  <c r="E12" i="6" s="1"/>
  <c r="G12" i="5"/>
  <c r="F12" i="6" s="1"/>
  <c r="H37" i="2"/>
  <c r="B5" i="9" s="1"/>
  <c r="D14" i="6"/>
  <c r="E14" i="6" s="1"/>
  <c r="G14" i="5"/>
  <c r="F14" i="6" s="1"/>
  <c r="D15" i="6"/>
  <c r="E15" i="6" s="1"/>
  <c r="G15" i="5"/>
  <c r="F15" i="6" s="1"/>
  <c r="D7" i="6"/>
  <c r="E7" i="6" s="1"/>
  <c r="G7" i="5"/>
  <c r="F7" i="6" s="1"/>
  <c r="D16" i="6"/>
  <c r="E16" i="6" s="1"/>
  <c r="G16" i="5"/>
  <c r="F16" i="6" s="1"/>
  <c r="D4" i="6"/>
  <c r="G4" i="5"/>
  <c r="D19" i="6"/>
  <c r="E19" i="6" s="1"/>
  <c r="D9" i="8" s="1"/>
  <c r="G9" i="8" s="1"/>
  <c r="G19" i="5"/>
  <c r="F19" i="6" s="1"/>
  <c r="D9" i="6"/>
  <c r="E9" i="6" s="1"/>
  <c r="G9" i="5"/>
  <c r="F9" i="6" s="1"/>
  <c r="D18" i="6"/>
  <c r="E18" i="6" s="1"/>
  <c r="G18" i="5"/>
  <c r="F18" i="6" s="1"/>
  <c r="D11" i="6"/>
  <c r="E11" i="6" s="1"/>
  <c r="G11" i="5"/>
  <c r="F11" i="6" s="1"/>
  <c r="D13" i="6"/>
  <c r="E13" i="6" s="1"/>
  <c r="G13" i="5"/>
  <c r="F13" i="6" s="1"/>
  <c r="H18" i="5" l="1"/>
  <c r="H15" i="5"/>
  <c r="H19" i="5"/>
  <c r="H6" i="5"/>
  <c r="D6" i="8"/>
  <c r="G6" i="8" s="1"/>
  <c r="D7" i="8"/>
  <c r="G7" i="8" s="1"/>
  <c r="H16" i="5"/>
  <c r="H12" i="5"/>
  <c r="H10" i="5"/>
  <c r="H11" i="5"/>
  <c r="H5" i="5"/>
  <c r="F4" i="6"/>
  <c r="B19" i="9"/>
  <c r="B11" i="9"/>
  <c r="B9" i="9"/>
  <c r="D41" i="6"/>
  <c r="E4" i="6"/>
  <c r="H4" i="5"/>
  <c r="I4" i="5" s="1"/>
  <c r="D8" i="8"/>
  <c r="G8" i="8" s="1"/>
  <c r="H9" i="5"/>
  <c r="H7" i="5"/>
  <c r="H14" i="5"/>
  <c r="D5" i="8"/>
  <c r="G5" i="8" s="1"/>
  <c r="H17" i="5"/>
  <c r="H8" i="5"/>
  <c r="H13" i="5"/>
  <c r="B10" i="9" l="1"/>
  <c r="B21" i="9"/>
  <c r="G4" i="6"/>
  <c r="L4" i="5"/>
  <c r="M4" i="5" s="1"/>
  <c r="N4" i="5" s="1"/>
  <c r="Q4" i="5"/>
  <c r="F41" i="6"/>
  <c r="E41" i="6"/>
  <c r="D4" i="8"/>
  <c r="G4" i="8" s="1"/>
  <c r="O4" i="5" l="1"/>
  <c r="J4" i="6"/>
  <c r="L4" i="6" l="1"/>
  <c r="S4" i="5"/>
  <c r="T4" i="5" l="1"/>
  <c r="J5" i="5"/>
  <c r="M4" i="6"/>
  <c r="N4" i="6" s="1"/>
  <c r="O4" i="6" s="1"/>
  <c r="I5" i="5" l="1"/>
  <c r="G5" i="6" s="1"/>
  <c r="Q5" i="5" l="1"/>
  <c r="L5" i="5"/>
  <c r="M5" i="5" s="1"/>
  <c r="N5" i="5" s="1"/>
  <c r="O5" i="5" l="1"/>
  <c r="J5" i="6"/>
  <c r="L5" i="6" l="1"/>
  <c r="S5" i="5"/>
  <c r="M5" i="6" l="1"/>
  <c r="N5" i="6" s="1"/>
  <c r="O5" i="6" s="1"/>
  <c r="T5" i="5"/>
  <c r="J6" i="5"/>
  <c r="I6" i="5" l="1"/>
  <c r="G6" i="6" s="1"/>
  <c r="Q6" i="5" l="1"/>
  <c r="L6" i="5"/>
  <c r="M6" i="5" s="1"/>
  <c r="N6" i="5" s="1"/>
  <c r="O6" i="5" l="1"/>
  <c r="J6" i="6"/>
  <c r="E4" i="8" l="1"/>
  <c r="F4" i="8" s="1"/>
  <c r="H4" i="8" s="1"/>
  <c r="L6" i="6"/>
  <c r="S6" i="5"/>
  <c r="M6" i="6" l="1"/>
  <c r="N6" i="6" s="1"/>
  <c r="O6" i="6" s="1"/>
  <c r="I4" i="8"/>
  <c r="T6" i="5"/>
  <c r="J7" i="5"/>
  <c r="I7" i="5" l="1"/>
  <c r="G7" i="6" s="1"/>
  <c r="L7" i="5" l="1"/>
  <c r="M7" i="5" s="1"/>
  <c r="N7" i="5" s="1"/>
  <c r="Q7" i="5"/>
  <c r="O7" i="5" l="1"/>
  <c r="J7" i="6"/>
  <c r="L7" i="6" l="1"/>
  <c r="S7" i="5"/>
  <c r="M7" i="6" l="1"/>
  <c r="N7" i="6" s="1"/>
  <c r="O7" i="6" s="1"/>
  <c r="T7" i="5"/>
  <c r="J8" i="5"/>
  <c r="I8" i="5" l="1"/>
  <c r="G8" i="6" s="1"/>
  <c r="L8" i="5" l="1"/>
  <c r="M8" i="5" s="1"/>
  <c r="N8" i="5" s="1"/>
  <c r="Q8" i="5"/>
  <c r="O8" i="5" l="1"/>
  <c r="J8" i="6"/>
  <c r="L8" i="6" l="1"/>
  <c r="S8" i="5"/>
  <c r="J9" i="5" l="1"/>
  <c r="T8" i="5"/>
  <c r="M8" i="6"/>
  <c r="N8" i="6" l="1"/>
  <c r="O8" i="6" s="1"/>
  <c r="I9" i="5"/>
  <c r="G9" i="6" s="1"/>
  <c r="Q9" i="5" l="1"/>
  <c r="J9" i="6" s="1"/>
  <c r="E5" i="8" s="1"/>
  <c r="F5" i="8" s="1"/>
  <c r="H5" i="8" s="1"/>
  <c r="L9" i="5"/>
  <c r="M9" i="5" s="1"/>
  <c r="N9" i="5" s="1"/>
  <c r="O9" i="5" s="1"/>
  <c r="S9" i="5" l="1"/>
  <c r="T9" i="5" s="1"/>
  <c r="L9" i="6"/>
  <c r="I5" i="8"/>
  <c r="J10" i="5" l="1"/>
  <c r="I10" i="5" s="1"/>
  <c r="G10" i="6" s="1"/>
  <c r="M9" i="6"/>
  <c r="N9" i="6" s="1"/>
  <c r="O9" i="6" s="1"/>
  <c r="Q10" i="5" l="1"/>
  <c r="J10" i="6" s="1"/>
  <c r="L10" i="6" s="1"/>
  <c r="L10" i="5"/>
  <c r="M10" i="5" s="1"/>
  <c r="N10" i="5" s="1"/>
  <c r="O10" i="5" s="1"/>
  <c r="S10" i="5" l="1"/>
  <c r="J11" i="5" s="1"/>
  <c r="M10" i="6"/>
  <c r="N10" i="6" s="1"/>
  <c r="O10" i="6" s="1"/>
  <c r="T10" i="5" l="1"/>
  <c r="I11" i="5"/>
  <c r="G11" i="6" s="1"/>
  <c r="Q11" i="5" l="1"/>
  <c r="J11" i="6" s="1"/>
  <c r="L11" i="6" s="1"/>
  <c r="L11" i="5"/>
  <c r="M11" i="5" s="1"/>
  <c r="N11" i="5" s="1"/>
  <c r="O11" i="5" s="1"/>
  <c r="S11" i="5" l="1"/>
  <c r="T11" i="5" s="1"/>
  <c r="M11" i="6"/>
  <c r="N11" i="6" s="1"/>
  <c r="O11" i="6" s="1"/>
  <c r="J12" i="5" l="1"/>
  <c r="I12" i="5" s="1"/>
  <c r="G12" i="6" s="1"/>
  <c r="Q12" i="5" l="1"/>
  <c r="J12" i="6" s="1"/>
  <c r="E6" i="8" s="1"/>
  <c r="F6" i="8" s="1"/>
  <c r="H6" i="8" s="1"/>
  <c r="L12" i="5"/>
  <c r="M12" i="5" s="1"/>
  <c r="N12" i="5" s="1"/>
  <c r="O12" i="5" s="1"/>
  <c r="S12" i="5" l="1"/>
  <c r="T12" i="5" s="1"/>
  <c r="L12" i="6"/>
  <c r="M12" i="6" s="1"/>
  <c r="I6" i="8"/>
  <c r="J13" i="5" l="1"/>
  <c r="N12" i="6"/>
  <c r="O12" i="6" s="1"/>
  <c r="I13" i="5"/>
  <c r="G13" i="6" s="1"/>
  <c r="Q13" i="5" l="1"/>
  <c r="J13" i="6" s="1"/>
  <c r="L13" i="6" s="1"/>
  <c r="M13" i="6" s="1"/>
  <c r="L13" i="5"/>
  <c r="M13" i="5" s="1"/>
  <c r="N13" i="5" s="1"/>
  <c r="O13" i="5" s="1"/>
  <c r="S13" i="5" l="1"/>
  <c r="T13" i="5" s="1"/>
  <c r="N13" i="6"/>
  <c r="O13" i="6" s="1"/>
  <c r="J14" i="5" l="1"/>
  <c r="I14" i="5" s="1"/>
  <c r="G14" i="6" s="1"/>
  <c r="Q14" i="5" l="1"/>
  <c r="J14" i="6" s="1"/>
  <c r="L14" i="6" s="1"/>
  <c r="L14" i="5"/>
  <c r="M14" i="5" s="1"/>
  <c r="N14" i="5" s="1"/>
  <c r="O14" i="5" s="1"/>
  <c r="S14" i="5" l="1"/>
  <c r="J15" i="5" s="1"/>
  <c r="M14" i="6"/>
  <c r="N14" i="6" s="1"/>
  <c r="O14" i="6" s="1"/>
  <c r="T14" i="5" l="1"/>
  <c r="I15" i="5"/>
  <c r="G15" i="6" s="1"/>
  <c r="Q15" i="5" l="1"/>
  <c r="J15" i="6" s="1"/>
  <c r="E7" i="8" s="1"/>
  <c r="F7" i="8" s="1"/>
  <c r="H7" i="8" s="1"/>
  <c r="L15" i="5"/>
  <c r="M15" i="5" s="1"/>
  <c r="N15" i="5" s="1"/>
  <c r="O15" i="5" s="1"/>
  <c r="S15" i="5" l="1"/>
  <c r="T15" i="5" s="1"/>
  <c r="I7" i="8"/>
  <c r="L15" i="6"/>
  <c r="J16" i="5" l="1"/>
  <c r="I16" i="5" s="1"/>
  <c r="G16" i="6" s="1"/>
  <c r="M15" i="6"/>
  <c r="N15" i="6" s="1"/>
  <c r="O15" i="6" s="1"/>
  <c r="L16" i="5" l="1"/>
  <c r="M16" i="5" s="1"/>
  <c r="N16" i="5" s="1"/>
  <c r="O16" i="5" s="1"/>
  <c r="Q16" i="5"/>
  <c r="J16" i="6" s="1"/>
  <c r="L16" i="6" s="1"/>
  <c r="S16" i="5" l="1"/>
  <c r="T16" i="5" s="1"/>
  <c r="M16" i="6"/>
  <c r="N16" i="6" s="1"/>
  <c r="O16" i="6" s="1"/>
  <c r="J17" i="5" l="1"/>
  <c r="I17" i="5" s="1"/>
  <c r="G17" i="6" s="1"/>
  <c r="L17" i="5" l="1"/>
  <c r="M17" i="5" s="1"/>
  <c r="N17" i="5" s="1"/>
  <c r="O17" i="5" s="1"/>
  <c r="Q17" i="5"/>
  <c r="J17" i="6" s="1"/>
  <c r="S17" i="5" l="1"/>
  <c r="J18" i="5" s="1"/>
  <c r="L17" i="6"/>
  <c r="T17" i="5" l="1"/>
  <c r="M17" i="6"/>
  <c r="N17" i="6" s="1"/>
  <c r="O17" i="6" s="1"/>
  <c r="I18" i="5"/>
  <c r="G18" i="6" s="1"/>
  <c r="L18" i="5" l="1"/>
  <c r="M18" i="5" s="1"/>
  <c r="N18" i="5" s="1"/>
  <c r="O18" i="5" s="1"/>
  <c r="Q18" i="5"/>
  <c r="J18" i="6" s="1"/>
  <c r="E8" i="8" s="1"/>
  <c r="F8" i="8" s="1"/>
  <c r="H8" i="8" s="1"/>
  <c r="S18" i="5" l="1"/>
  <c r="T18" i="5" s="1"/>
  <c r="I8" i="8"/>
  <c r="L18" i="6"/>
  <c r="J19" i="5" l="1"/>
  <c r="I19" i="5" s="1"/>
  <c r="G19" i="6" s="1"/>
  <c r="M18" i="6"/>
  <c r="N18" i="6" s="1"/>
  <c r="O18" i="6" s="1"/>
  <c r="Q19" i="5" l="1"/>
  <c r="J19" i="6" s="1"/>
  <c r="L19" i="5"/>
  <c r="M19" i="5" s="1"/>
  <c r="N19" i="5" s="1"/>
  <c r="O19" i="5" s="1"/>
  <c r="S19" i="5" l="1"/>
  <c r="J20" i="5" s="1"/>
  <c r="L19" i="6"/>
  <c r="T19" i="5" l="1"/>
  <c r="M19" i="6"/>
  <c r="I20" i="5"/>
  <c r="G20" i="6" s="1"/>
  <c r="Q20" i="5" l="1"/>
  <c r="J20" i="6" s="1"/>
  <c r="L20" i="6" s="1"/>
  <c r="M20" i="6" s="1"/>
  <c r="L20" i="5"/>
  <c r="M20" i="5" s="1"/>
  <c r="N20" i="5" s="1"/>
  <c r="O20" i="5" s="1"/>
  <c r="N19" i="6"/>
  <c r="O19" i="6" s="1"/>
  <c r="S20" i="5" l="1"/>
  <c r="T20" i="5" s="1"/>
  <c r="N20" i="6"/>
  <c r="O20" i="6" s="1"/>
  <c r="J21" i="5" l="1"/>
  <c r="I21" i="5" s="1"/>
  <c r="G21" i="6" s="1"/>
  <c r="Q21" i="5" l="1"/>
  <c r="J21" i="6" s="1"/>
  <c r="L21" i="5"/>
  <c r="M21" i="5" s="1"/>
  <c r="N21" i="5" s="1"/>
  <c r="O21" i="5" s="1"/>
  <c r="O41" i="5" l="1"/>
  <c r="W5" i="5"/>
  <c r="B15" i="9"/>
  <c r="R21" i="5"/>
  <c r="K21" i="6" s="1"/>
  <c r="E9" i="8" l="1"/>
  <c r="F9" i="8" s="1"/>
  <c r="H9" i="8" s="1"/>
  <c r="I9" i="8" s="1"/>
  <c r="L21" i="6"/>
  <c r="M21" i="6" s="1"/>
  <c r="S21" i="5"/>
  <c r="T21" i="5" l="1"/>
  <c r="J22" i="5"/>
  <c r="N21" i="6"/>
  <c r="O21" i="6" s="1"/>
  <c r="I22" i="5" l="1"/>
  <c r="G22" i="6" s="1"/>
  <c r="Q22" i="5" l="1"/>
  <c r="L22" i="5"/>
  <c r="M22" i="5" s="1"/>
  <c r="N22" i="5" s="1"/>
  <c r="P22" i="5" s="1"/>
  <c r="I22" i="6" l="1"/>
  <c r="J22" i="6"/>
  <c r="R22" i="5"/>
  <c r="K22" i="6" l="1"/>
  <c r="L22" i="6" s="1"/>
  <c r="M22" i="6" s="1"/>
  <c r="S22" i="5"/>
  <c r="N22" i="6" l="1"/>
  <c r="O22" i="6" s="1"/>
  <c r="J23" i="5"/>
  <c r="T22" i="5"/>
  <c r="I23" i="5" l="1"/>
  <c r="G23" i="6" s="1"/>
  <c r="Q23" i="5" l="1"/>
  <c r="L23" i="5"/>
  <c r="M23" i="5" s="1"/>
  <c r="N23" i="5" s="1"/>
  <c r="P23" i="5" s="1"/>
  <c r="I23" i="6" l="1"/>
  <c r="J23" i="6"/>
  <c r="R23" i="5"/>
  <c r="K23" i="6" s="1"/>
  <c r="S23" i="5" l="1"/>
  <c r="L23" i="6"/>
  <c r="M23" i="6" s="1"/>
  <c r="N23" i="6" s="1"/>
  <c r="O23" i="6" s="1"/>
  <c r="J24" i="5" l="1"/>
  <c r="T23" i="5"/>
  <c r="I24" i="5" l="1"/>
  <c r="G24" i="6" s="1"/>
  <c r="Q24" i="5" l="1"/>
  <c r="L24" i="5"/>
  <c r="M24" i="5" s="1"/>
  <c r="N24" i="5" s="1"/>
  <c r="P24" i="5" s="1"/>
  <c r="I24" i="6" l="1"/>
  <c r="J24" i="6"/>
  <c r="R24" i="5"/>
  <c r="K24" i="6" l="1"/>
  <c r="E10" i="8" s="1"/>
  <c r="F10" i="8" s="1"/>
  <c r="H10" i="8" s="1"/>
  <c r="I10" i="8" s="1"/>
  <c r="S24" i="5"/>
  <c r="L24" i="6" l="1"/>
  <c r="M24" i="6" s="1"/>
  <c r="T24" i="5"/>
  <c r="J25" i="5"/>
  <c r="N24" i="6" l="1"/>
  <c r="O24" i="6" s="1"/>
  <c r="I25" i="5"/>
  <c r="G25" i="6" s="1"/>
  <c r="Q25" i="5" l="1"/>
  <c r="J25" i="6" s="1"/>
  <c r="L25" i="5"/>
  <c r="M25" i="5" s="1"/>
  <c r="N25" i="5" s="1"/>
  <c r="P25" i="5" s="1"/>
  <c r="I25" i="6" l="1"/>
  <c r="R25" i="5"/>
  <c r="K25" i="6" l="1"/>
  <c r="L25" i="6" s="1"/>
  <c r="M25" i="6" s="1"/>
  <c r="S25" i="5"/>
  <c r="N25" i="6" l="1"/>
  <c r="O25" i="6" s="1"/>
  <c r="T25" i="5"/>
  <c r="J26" i="5"/>
  <c r="I26" i="5" l="1"/>
  <c r="G26" i="6" s="1"/>
  <c r="Q26" i="5" l="1"/>
  <c r="J26" i="6" s="1"/>
  <c r="L26" i="5"/>
  <c r="M26" i="5" s="1"/>
  <c r="N26" i="5" s="1"/>
  <c r="P26" i="5" s="1"/>
  <c r="I26" i="6" l="1"/>
  <c r="R26" i="5"/>
  <c r="K26" i="6" l="1"/>
  <c r="L26" i="6" s="1"/>
  <c r="M26" i="6" s="1"/>
  <c r="S26" i="5"/>
  <c r="N26" i="6" l="1"/>
  <c r="O26" i="6" s="1"/>
  <c r="J27" i="5"/>
  <c r="T26" i="5"/>
  <c r="I27" i="5" l="1"/>
  <c r="G27" i="6" s="1"/>
  <c r="Q27" i="5" l="1"/>
  <c r="L27" i="5"/>
  <c r="M27" i="5" s="1"/>
  <c r="N27" i="5" s="1"/>
  <c r="P27" i="5" s="1"/>
  <c r="I27" i="6" s="1"/>
  <c r="J27" i="6" l="1"/>
  <c r="R27" i="5"/>
  <c r="K27" i="6" l="1"/>
  <c r="E11" i="8" s="1"/>
  <c r="F11" i="8" s="1"/>
  <c r="H11" i="8" s="1"/>
  <c r="I11" i="8" s="1"/>
  <c r="S27" i="5"/>
  <c r="L27" i="6" l="1"/>
  <c r="M27" i="6" s="1"/>
  <c r="J28" i="5"/>
  <c r="T27" i="5"/>
  <c r="N27" i="6"/>
  <c r="O27" i="6" s="1"/>
  <c r="I28" i="5" l="1"/>
  <c r="G28" i="6" s="1"/>
  <c r="Q28" i="5" l="1"/>
  <c r="L28" i="5"/>
  <c r="M28" i="5" s="1"/>
  <c r="N28" i="5" s="1"/>
  <c r="P28" i="5" s="1"/>
  <c r="I28" i="6" s="1"/>
  <c r="J28" i="6" l="1"/>
  <c r="R28" i="5"/>
  <c r="K28" i="6" l="1"/>
  <c r="L28" i="6" s="1"/>
  <c r="M28" i="6" s="1"/>
  <c r="S28" i="5"/>
  <c r="T28" i="5" l="1"/>
  <c r="J29" i="5"/>
  <c r="N28" i="6"/>
  <c r="O28" i="6" s="1"/>
  <c r="I29" i="5" l="1"/>
  <c r="G29" i="6" s="1"/>
  <c r="Q29" i="5" l="1"/>
  <c r="J29" i="6" s="1"/>
  <c r="L29" i="5"/>
  <c r="M29" i="5" s="1"/>
  <c r="N29" i="5" s="1"/>
  <c r="P29" i="5" s="1"/>
  <c r="I29" i="6" l="1"/>
  <c r="R29" i="5"/>
  <c r="K29" i="6" l="1"/>
  <c r="L29" i="6" s="1"/>
  <c r="M29" i="6" s="1"/>
  <c r="S29" i="5"/>
  <c r="N29" i="6" l="1"/>
  <c r="O29" i="6" s="1"/>
  <c r="T29" i="5"/>
  <c r="J30" i="5"/>
  <c r="I30" i="5" l="1"/>
  <c r="G30" i="6" s="1"/>
  <c r="Q30" i="5" l="1"/>
  <c r="J30" i="6" s="1"/>
  <c r="L30" i="5"/>
  <c r="M30" i="5" s="1"/>
  <c r="N30" i="5" s="1"/>
  <c r="P30" i="5" s="1"/>
  <c r="I30" i="6" l="1"/>
  <c r="R30" i="5"/>
  <c r="K30" i="6" l="1"/>
  <c r="E12" i="8" s="1"/>
  <c r="F12" i="8" s="1"/>
  <c r="H12" i="8" s="1"/>
  <c r="I12" i="8" s="1"/>
  <c r="S30" i="5"/>
  <c r="L30" i="6" l="1"/>
  <c r="M30" i="6" s="1"/>
  <c r="J31" i="5"/>
  <c r="T30" i="5"/>
  <c r="N30" i="6" l="1"/>
  <c r="O30" i="6" s="1"/>
  <c r="I31" i="5"/>
  <c r="G31" i="6" s="1"/>
  <c r="Q31" i="5" l="1"/>
  <c r="L31" i="5"/>
  <c r="M31" i="5" s="1"/>
  <c r="N31" i="5" s="1"/>
  <c r="P31" i="5" s="1"/>
  <c r="I31" i="6" s="1"/>
  <c r="J31" i="6" l="1"/>
  <c r="R31" i="5"/>
  <c r="K31" i="6" l="1"/>
  <c r="L31" i="6" s="1"/>
  <c r="M31" i="6" s="1"/>
  <c r="S31" i="5"/>
  <c r="J32" i="5" l="1"/>
  <c r="T31" i="5"/>
  <c r="N31" i="6"/>
  <c r="O31" i="6" s="1"/>
  <c r="I32" i="5" l="1"/>
  <c r="G32" i="6" s="1"/>
  <c r="Q32" i="5" l="1"/>
  <c r="L32" i="5"/>
  <c r="M32" i="5" s="1"/>
  <c r="N32" i="5" s="1"/>
  <c r="P32" i="5" s="1"/>
  <c r="I32" i="6" s="1"/>
  <c r="J32" i="6" l="1"/>
  <c r="R32" i="5"/>
  <c r="K32" i="6" s="1"/>
  <c r="L32" i="6" l="1"/>
  <c r="M32" i="6" s="1"/>
  <c r="N32" i="6" s="1"/>
  <c r="O32" i="6" s="1"/>
  <c r="S32" i="5"/>
  <c r="T32" i="5" l="1"/>
  <c r="J33" i="5"/>
  <c r="I33" i="5" l="1"/>
  <c r="G33" i="6" s="1"/>
  <c r="Q33" i="5" l="1"/>
  <c r="L33" i="5"/>
  <c r="M33" i="5" s="1"/>
  <c r="N33" i="5" s="1"/>
  <c r="P33" i="5" s="1"/>
  <c r="I33" i="6" s="1"/>
  <c r="J33" i="6" l="1"/>
  <c r="R33" i="5"/>
  <c r="K33" i="6" s="1"/>
  <c r="E13" i="8" s="1"/>
  <c r="F13" i="8" s="1"/>
  <c r="H13" i="8" s="1"/>
  <c r="I13" i="8" s="1"/>
  <c r="L33" i="6" l="1"/>
  <c r="M33" i="6" s="1"/>
  <c r="S33" i="5"/>
  <c r="N33" i="6" l="1"/>
  <c r="O33" i="6" s="1"/>
  <c r="J34" i="5"/>
  <c r="T33" i="5"/>
  <c r="I34" i="5" l="1"/>
  <c r="G34" i="6" s="1"/>
  <c r="Q34" i="5" l="1"/>
  <c r="L34" i="5"/>
  <c r="M34" i="5" s="1"/>
  <c r="N34" i="5" s="1"/>
  <c r="P34" i="5" s="1"/>
  <c r="I34" i="6" s="1"/>
  <c r="J34" i="6" l="1"/>
  <c r="R34" i="5"/>
  <c r="K34" i="6" l="1"/>
  <c r="L34" i="6" s="1"/>
  <c r="M34" i="6" s="1"/>
  <c r="S34" i="5"/>
  <c r="T34" i="5" l="1"/>
  <c r="J35" i="5"/>
  <c r="N34" i="6"/>
  <c r="O34" i="6" s="1"/>
  <c r="I35" i="5" l="1"/>
  <c r="G35" i="6" s="1"/>
  <c r="Q35" i="5" l="1"/>
  <c r="L35" i="5"/>
  <c r="M35" i="5" s="1"/>
  <c r="N35" i="5" s="1"/>
  <c r="P35" i="5" s="1"/>
  <c r="I35" i="6" s="1"/>
  <c r="J35" i="6" l="1"/>
  <c r="R35" i="5"/>
  <c r="K35" i="6" s="1"/>
  <c r="L35" i="6" l="1"/>
  <c r="M35" i="6" s="1"/>
  <c r="S35" i="5"/>
  <c r="N35" i="6" l="1"/>
  <c r="O35" i="6" s="1"/>
  <c r="J36" i="5"/>
  <c r="T35" i="5"/>
  <c r="I36" i="5" l="1"/>
  <c r="G36" i="6" s="1"/>
  <c r="L36" i="5" l="1"/>
  <c r="M36" i="5" s="1"/>
  <c r="N36" i="5" s="1"/>
  <c r="P36" i="5" s="1"/>
  <c r="I36" i="6" s="1"/>
  <c r="Q36" i="5"/>
  <c r="J36" i="6" l="1"/>
  <c r="R36" i="5"/>
  <c r="K36" i="6" s="1"/>
  <c r="E14" i="8" s="1"/>
  <c r="F14" i="8" s="1"/>
  <c r="H14" i="8" s="1"/>
  <c r="I14" i="8" s="1"/>
  <c r="L36" i="6" l="1"/>
  <c r="M36" i="6" s="1"/>
  <c r="S36" i="5"/>
  <c r="N36" i="6" l="1"/>
  <c r="O36" i="6" s="1"/>
  <c r="T36" i="5"/>
  <c r="J37" i="5"/>
  <c r="I37" i="5" l="1"/>
  <c r="G37" i="6" s="1"/>
  <c r="L37" i="5" l="1"/>
  <c r="M37" i="5" s="1"/>
  <c r="N37" i="5" s="1"/>
  <c r="P37" i="5" s="1"/>
  <c r="I37" i="6" s="1"/>
  <c r="Q37" i="5"/>
  <c r="J37" i="6" l="1"/>
  <c r="R37" i="5"/>
  <c r="K37" i="6" s="1"/>
  <c r="S37" i="5" l="1"/>
  <c r="L37" i="6"/>
  <c r="M37" i="6" s="1"/>
  <c r="J38" i="5" l="1"/>
  <c r="T37" i="5"/>
  <c r="N37" i="6"/>
  <c r="O37" i="6" s="1"/>
  <c r="I38" i="5" l="1"/>
  <c r="G38" i="6" s="1"/>
  <c r="L38" i="5" l="1"/>
  <c r="M38" i="5" s="1"/>
  <c r="N38" i="5" s="1"/>
  <c r="P38" i="5" s="1"/>
  <c r="I38" i="6" s="1"/>
  <c r="Q38" i="5"/>
  <c r="J38" i="6" l="1"/>
  <c r="R38" i="5"/>
  <c r="K38" i="6" s="1"/>
  <c r="L38" i="6" l="1"/>
  <c r="M38" i="6" s="1"/>
  <c r="N38" i="6" s="1"/>
  <c r="O38" i="6" s="1"/>
  <c r="S38" i="5"/>
  <c r="T38" i="5" l="1"/>
  <c r="J39" i="5"/>
  <c r="I39" i="5" l="1"/>
  <c r="G39" i="6" s="1"/>
  <c r="G41" i="6" l="1"/>
  <c r="Q39" i="5"/>
  <c r="L39" i="5"/>
  <c r="M39" i="5" s="1"/>
  <c r="N39" i="5" s="1"/>
  <c r="P39" i="5" l="1"/>
  <c r="B14" i="9"/>
  <c r="N41" i="5"/>
  <c r="J39" i="6"/>
  <c r="J41" i="6" s="1"/>
  <c r="B17" i="9"/>
  <c r="Q41" i="5"/>
  <c r="W7" i="5"/>
  <c r="R39" i="5"/>
  <c r="K39" i="6" s="1"/>
  <c r="S39" i="5" l="1"/>
  <c r="K41" i="6"/>
  <c r="I39" i="6"/>
  <c r="E15" i="8" s="1"/>
  <c r="F15" i="8" s="1"/>
  <c r="H15" i="8" s="1"/>
  <c r="P41" i="5"/>
  <c r="W6" i="5"/>
  <c r="B16" i="9"/>
  <c r="I15" i="8" l="1"/>
  <c r="B18" i="9"/>
  <c r="I41" i="6"/>
  <c r="L39" i="6"/>
  <c r="B20" i="9"/>
  <c r="W8" i="5"/>
  <c r="T39" i="5"/>
  <c r="W4" i="5"/>
  <c r="S41" i="5"/>
  <c r="B13" i="9"/>
  <c r="L41" i="6" l="1"/>
  <c r="M39" i="6"/>
  <c r="M41" i="6" s="1"/>
  <c r="N39" i="6" l="1"/>
  <c r="O39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B13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Актуализировано по рынку Якутска: 167,8 тыс. руб./м² как ориентир на 1 полугодие 2026.
Источники:
https://prim.rbc.ru/prim/31/03/2026/69cb193b9a79477ebc404a80
https://yakutsk.etagi.com/zastr/2026/
https://yakutsk.cian.ru/novostroyki-2026/</t>
        </r>
      </text>
    </comment>
    <comment ref="B14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Актуализировано по рынку машиномест Якутска: около 1,5–1,6 млн руб. как средний ориентир.
Источники:
https://yakutsk.etagi.com/garages/parking/
https://yakutsk.cian.ru/kupit-mashinomesto/</t>
        </r>
      </text>
    </comment>
    <comment ref="B16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Индекс цен производителей стройматериалов в ДФО за 2025 год: 107,6%.
Источник:
https://prim.rbc.ru/prim/31/03/2026/69cb193b9a79477ebc404a80</t>
        </r>
      </text>
    </comment>
    <comment ref="B17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Коэффициент региона обнулен до 1,00, потому что ставки ниже уже откалиброваны под Якутию, чтобы не было двойного учета региональной премии.
База калибровки:
https://prim.rbc.ru/prim/31/03/2026/69cb193b9a79477ebc404a80</t>
        </r>
      </text>
    </comment>
    <comment ref="B18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Источник параметра: загруженный пользователем файл 'Кред_СЗ АРМА_180B01GV1ОФЖНMF.docx' (индивидуальные условия кредитной линии Сбербанка).</t>
        </r>
      </text>
    </comment>
    <comment ref="B19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Источник параметра: загруженный пользователем файл 'Кред_СЗ АРМА_180B01GV1ОФЖНMF.docx' (индивидуальные условия кредитной линии Сбербанка).</t>
        </r>
      </text>
    </comment>
    <comment ref="B20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Источник параметра: загруженный пользователем файл 'Кред_СЗ АРМА_180B01GV1ОФЖНMF.docx' (индивидуальные условия кредитной линии Сбербанка).</t>
        </r>
      </text>
    </comment>
    <comment ref="B21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Текущая ключевая ставка Банка России на 20.04.2026 — 15,00%.
Источник:
https://www.cbr.ru/hd_base/keyrate/</t>
        </r>
      </text>
    </comment>
    <comment ref="B22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Источник параметра: загруженный пользователем файл 'Кред_СЗ АРМА_180B01GV1ОФЖНMF.docx' (индивидуальные условия кредитной линии Сбербанка).</t>
        </r>
      </text>
    </comment>
    <comment ref="B23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Источник параметра: загруженный пользователем файл 'Кред_СЗ АРМА_180B01GV1ОФЖНMF.docx' (индивидуальные условия кредитной линии Сбербанка).</t>
        </r>
      </text>
    </comment>
    <comment ref="B24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Источник параметра: загруженный пользователем файл 'Кред_СЗ АРМА_180B01GV1ОФЖНMF.docx' (индивидуальные условия кредитной линии Сбербанка).</t>
        </r>
      </text>
    </comment>
    <comment ref="B25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Источник параметра: загруженный пользователем файл 'Кред_СЗ АРМА_180B01GV1ОФЖНMF.docx' (индивидуальные условия кредитной линии Сбербанка).</t>
        </r>
      </text>
    </comment>
    <comment ref="B26" authorId="0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>Источник параметра: загруженный пользователем файл 'Кред_СЗ АРМА_180B01GV1ОФЖНMF.docx' (индивидуальные условия кредитной линии Сбербанка).</t>
        </r>
      </text>
    </comment>
    <comment ref="B27" authorId="0" shapeId="0" xr:uid="{00000000-0006-0000-0000-00000E000000}">
      <text>
        <r>
          <rPr>
            <sz val="11"/>
            <color theme="1"/>
            <rFont val="Calibri"/>
            <family val="2"/>
            <scheme val="minor"/>
          </rPr>
          <t>Автоматический расчет: дата старта проекта + срок строительства - 1 месяц</t>
        </r>
      </text>
    </comment>
    <comment ref="B28" authorId="0" shapeId="0" xr:uid="{00000000-0006-0000-0000-00000F000000}">
      <text>
        <r>
          <rPr>
            <sz val="11"/>
            <color theme="1"/>
            <rFont val="Calibri"/>
            <family val="2"/>
            <scheme val="minor"/>
          </rPr>
          <t>Автоматический расчет: кредит закрывается в месяц ввода объекта</t>
        </r>
      </text>
    </comment>
    <comment ref="B38" authorId="0" shapeId="0" xr:uid="{00000000-0006-0000-0000-000010000000}">
      <text>
        <r>
          <rPr>
            <sz val="11"/>
            <color theme="1"/>
            <rFont val="Calibri"/>
            <family val="2"/>
            <scheme val="minor"/>
          </rPr>
          <t>Ставка откалибрована под Якутию на укрупненном уровне так, чтобы суммарная себестоимость строительства была ближе к среднему ориентиру ~97 тыс. руб./м² на 01.01.2026 для Якутии/ДФО, без двойного учета регионального коэффициента.
Источники:
https://prim.rbc.ru/prim/31/03/2026/69cb193b9a79477ebc404a80
https://erzrf.ru/news/minstroy-utverdil-normativy-sredney-stoimosti-kvadratnogo-metra-zhilya-na-iv-kvartal-2025-goda?search=%D1%86%D0%B5%D0%BD%D0%BE%D0%BE%D0%B1%D1%80%D0%B0</t>
        </r>
      </text>
    </comment>
    <comment ref="B39" authorId="0" shapeId="0" xr:uid="{00000000-0006-0000-0000-000011000000}">
      <text>
        <r>
          <rPr>
            <sz val="11"/>
            <color theme="1"/>
            <rFont val="Calibri"/>
            <family val="2"/>
            <scheme val="minor"/>
          </rPr>
          <t>Ставка откалибрована под Якутию на укрупненном уровне так, чтобы суммарная себестоимость строительства была ближе к среднему ориентиру ~97 тыс. руб./м² на 01.01.2026 для Якутии/ДФО, без двойного учета регионального коэффициента.
Источники:
https://prim.rbc.ru/prim/31/03/2026/69cb193b9a79477ebc404a80
https://erzrf.ru/news/minstroy-utverdil-normativy-sredney-stoimosti-kvadratnogo-metra-zhilya-na-iv-kvartal-2025-goda?search=%D1%86%D0%B5%D0%BD%D0%BE%D0%BE%D0%B1%D1%80%D0%B0</t>
        </r>
      </text>
    </comment>
    <comment ref="B40" authorId="0" shapeId="0" xr:uid="{00000000-0006-0000-0000-000012000000}">
      <text>
        <r>
          <rPr>
            <sz val="11"/>
            <color theme="1"/>
            <rFont val="Calibri"/>
            <family val="2"/>
            <scheme val="minor"/>
          </rPr>
          <t>Ставка откалибрована под Якутию на укрупненном уровне так, чтобы суммарная себестоимость строительства была ближе к среднему ориентиру ~97 тыс. руб./м² на 01.01.2026 для Якутии/ДФО, без двойного учета регионального коэффициента.
Источники:
https://prim.rbc.ru/prim/31/03/2026/69cb193b9a79477ebc404a80
https://erzrf.ru/news/minstroy-utverdil-normativy-sredney-stoimosti-kvadratnogo-metra-zhilya-na-iv-kvartal-2025-goda?search=%D1%86%D0%B5%D0%BD%D0%BE%D0%BE%D0%B1%D1%80%D0%B0</t>
        </r>
      </text>
    </comment>
    <comment ref="B41" authorId="0" shapeId="0" xr:uid="{00000000-0006-0000-0000-000013000000}">
      <text>
        <r>
          <rPr>
            <sz val="11"/>
            <color theme="1"/>
            <rFont val="Calibri"/>
            <family val="2"/>
            <scheme val="minor"/>
          </rPr>
          <t>Ставка откалибрована под Якутию на укрупненном уровне так, чтобы суммарная себестоимость строительства была ближе к среднему ориентиру ~97 тыс. руб./м² на 01.01.2026 для Якутии/ДФО, без двойного учета регионального коэффициента.
Источники:
https://prim.rbc.ru/prim/31/03/2026/69cb193b9a79477ebc404a80
https://erzrf.ru/news/minstroy-utverdil-normativy-sredney-stoimosti-kvadratnogo-metra-zhilya-na-iv-kvartal-2025-goda?search=%D1%86%D0%B5%D0%BD%D0%BE%D0%BE%D0%B1%D1%80%D0%B0</t>
        </r>
      </text>
    </comment>
    <comment ref="B42" authorId="0" shapeId="0" xr:uid="{00000000-0006-0000-0000-000014000000}">
      <text>
        <r>
          <rPr>
            <sz val="11"/>
            <color theme="1"/>
            <rFont val="Calibri"/>
            <family val="2"/>
            <scheme val="minor"/>
          </rPr>
          <t>Ставка откалибрована под Якутию на укрупненном уровне так, чтобы суммарная себестоимость строительства была ближе к среднему ориентиру ~97 тыс. руб./м² на 01.01.2026 для Якутии/ДФО, без двойного учета регионального коэффициента.
Источники:
https://prim.rbc.ru/prim/31/03/2026/69cb193b9a79477ebc404a80
https://erzrf.ru/news/minstroy-utverdil-normativy-sredney-stoimosti-kvadratnogo-metra-zhilya-na-iv-kvartal-2025-goda?search=%D1%86%D0%B5%D0%BD%D0%BE%D0%BE%D0%B1%D1%80%D0%B0</t>
        </r>
      </text>
    </comment>
    <comment ref="B43" authorId="0" shapeId="0" xr:uid="{00000000-0006-0000-0000-000015000000}">
      <text>
        <r>
          <rPr>
            <sz val="11"/>
            <color theme="1"/>
            <rFont val="Calibri"/>
            <family val="2"/>
            <scheme val="minor"/>
          </rPr>
          <t>Ставка откалибрована под Якутию на укрупненном уровне так, чтобы суммарная себестоимость строительства была ближе к среднему ориентиру ~97 тыс. руб./м² на 01.01.2026 для Якутии/ДФО, без двойного учета регионального коэффициента.
Источники:
https://prim.rbc.ru/prim/31/03/2026/69cb193b9a79477ebc404a80
https://erzrf.ru/news/minstroy-utverdil-normativy-sredney-stoimosti-kvadratnogo-metra-zhilya-na-iv-kvartal-2025-goda?search=%D1%86%D0%B5%D0%BD%D0%BE%D0%BE%D0%B1%D1%80%D0%B0</t>
        </r>
      </text>
    </comment>
    <comment ref="B44" authorId="0" shapeId="0" xr:uid="{00000000-0006-0000-0000-000016000000}">
      <text>
        <r>
          <rPr>
            <sz val="11"/>
            <color theme="1"/>
            <rFont val="Calibri"/>
            <family val="2"/>
            <scheme val="minor"/>
          </rPr>
          <t>Ставка откалибрована под Якутию на укрупненном уровне так, чтобы суммарная себестоимость строительства была ближе к среднему ориентиру ~97 тыс. руб./м² на 01.01.2026 для Якутии/ДФО, без двойного учета регионального коэффициента.
Источники:
https://prim.rbc.ru/prim/31/03/2026/69cb193b9a79477ebc404a80
https://erzrf.ru/news/minstroy-utverdil-normativy-sredney-stoimosti-kvadratnogo-metra-zhilya-na-iv-kvartal-2025-goda?search=%D1%86%D0%B5%D0%BD%D0%BE%D0%BE%D0%B1%D1%80%D0%B0</t>
        </r>
      </text>
    </comment>
    <comment ref="B46" authorId="0" shapeId="0" xr:uid="{00000000-0006-0000-0000-000017000000}">
      <text>
        <r>
          <rPr>
            <sz val="11"/>
            <color theme="1"/>
            <rFont val="Calibri"/>
            <family val="2"/>
            <scheme val="minor"/>
          </rPr>
          <t>Ставка откалибрована под Якутию на укрупненном уровне так, чтобы суммарная себестоимость строительства была ближе к среднему ориентиру ~97 тыс. руб./м² на 01.01.2026 для Якутии/ДФО, без двойного учета регионального коэффициента.
Источники:
https://prim.rbc.ru/prim/31/03/2026/69cb193b9a79477ebc404a80
https://erzrf.ru/news/minstroy-utverdil-normativy-sredney-stoimosti-kvadratnogo-metra-zhilya-na-iv-kvartal-2025-goda?search=%D1%86%D0%B5%D0%BD%D0%BE%D0%BE%D0%B1%D1%80%D0%B0</t>
        </r>
      </text>
    </comment>
    <comment ref="B47" authorId="0" shapeId="0" xr:uid="{00000000-0006-0000-0000-000018000000}">
      <text>
        <r>
          <rPr>
            <sz val="11"/>
            <color theme="1"/>
            <rFont val="Calibri"/>
            <family val="2"/>
            <scheme val="minor"/>
          </rPr>
          <t>Ставка откалибрована под Якутию на укрупненном уровне так, чтобы суммарная себестоимость строительства была ближе к среднему ориентиру ~97 тыс. руб./м² на 01.01.2026 для Якутии/ДФО, без двойного учета регионального коэффициента.
Источники:
https://prim.rbc.ru/prim/31/03/2026/69cb193b9a79477ebc404a80
https://erzrf.ru/news/minstroy-utverdil-normativy-sredney-stoimosti-kvadratnogo-metra-zhilya-na-iv-kvartal-2025-goda?search=%D1%86%D0%B5%D0%BD%D0%BE%D0%BE%D0%B1%D1%80%D0%B0</t>
        </r>
      </text>
    </comment>
    <comment ref="B48" authorId="0" shapeId="0" xr:uid="{00000000-0006-0000-0000-000019000000}">
      <text>
        <r>
          <rPr>
            <sz val="11"/>
            <color theme="1"/>
            <rFont val="Calibri"/>
            <family val="2"/>
            <scheme val="minor"/>
          </rPr>
          <t>Ставка откалибрована под Якутию на укрупненном уровне так, чтобы суммарная себестоимость строительства была ближе к среднему ориентиру ~97 тыс. руб./м² на 01.01.2026 для Якутии/ДФО, без двойного учета регионального коэффициента.
Источники:
https://prim.rbc.ru/prim/31/03/2026/69cb193b9a79477ebc404a80
https://erzrf.ru/news/minstroy-utverdil-normativy-sredney-stoimosti-kvadratnogo-metra-zhilya-na-iv-kvartal-2025-goda?search=%D1%86%D0%B5%D0%BD%D0%BE%D0%BE%D0%B1%D1%80%D0%B0</t>
        </r>
      </text>
    </comment>
    <comment ref="B49" authorId="0" shapeId="0" xr:uid="{00000000-0006-0000-0000-00001A000000}">
      <text>
        <r>
          <rPr>
            <sz val="11"/>
            <color theme="1"/>
            <rFont val="Calibri"/>
            <family val="2"/>
            <scheme val="minor"/>
          </rPr>
          <t>Ставка откалибрована под Якутию на укрупненном уровне так, чтобы суммарная себестоимость строительства была ближе к среднему ориентиру ~97 тыс. руб./м² на 01.01.2026 для Якутии/ДФО, без двойного учета регионального коэффициента.
Источники:
https://prim.rbc.ru/prim/31/03/2026/69cb193b9a79477ebc404a80
https://erzrf.ru/news/minstroy-utverdil-normativy-sredney-stoimosti-kvadratnogo-metra-zhilya-na-iv-kvartal-2025-goda?search=%D1%86%D0%B5%D0%BD%D0%BE%D0%BE%D0%B1%D1%80%D0%B0</t>
        </r>
      </text>
    </comment>
    <comment ref="B50" authorId="0" shapeId="0" xr:uid="{00000000-0006-0000-0000-00001B000000}">
      <text>
        <r>
          <rPr>
            <sz val="11"/>
            <color theme="1"/>
            <rFont val="Calibri"/>
            <family val="2"/>
            <scheme val="minor"/>
          </rPr>
          <t>Ставка откалибрована под Якутию на укрупненном уровне так, чтобы суммарная себестоимость строительства была ближе к среднему ориентиру ~97 тыс. руб./м² на 01.01.2026 для Якутии/ДФО, без двойного учета регионального коэффициента.
Источники:
https://prim.rbc.ru/prim/31/03/2026/69cb193b9a79477ebc404a80
https://erzrf.ru/news/minstroy-utverdil-normativy-sredney-stoimosti-kvadratnogo-metra-zhilya-na-iv-kvartal-2025-goda?search=%D1%86%D0%B5%D0%BD%D0%BE%D0%BE%D0%B1%D1%80%D0%B0</t>
        </r>
      </text>
    </comment>
    <comment ref="B51" authorId="0" shapeId="0" xr:uid="{00000000-0006-0000-0000-00001C000000}">
      <text>
        <r>
          <rPr>
            <sz val="11"/>
            <color theme="1"/>
            <rFont val="Calibri"/>
            <family val="2"/>
            <scheme val="minor"/>
          </rPr>
          <t>Ставка откалибрована под Якутию на укрупненном уровне так, чтобы суммарная себестоимость строительства была ближе к среднему ориентиру ~97 тыс. руб./м² на 01.01.2026 для Якутии/ДФО, без двойного учета регионального коэффициента.
Источники:
https://prim.rbc.ru/prim/31/03/2026/69cb193b9a79477ebc404a80
https://erzrf.ru/news/minstroy-utverdil-normativy-sredney-stoimosti-kvadratnogo-metra-zhilya-na-iv-kvartal-2025-goda?search=%D1%86%D0%B5%D0%BD%D0%BE%D0%BE%D0%B1%D1%80%D0%B0</t>
        </r>
      </text>
    </comment>
    <comment ref="B53" authorId="0" shapeId="0" xr:uid="{00000000-0006-0000-0000-00001D000000}">
      <text>
        <r>
          <rPr>
            <sz val="11"/>
            <color theme="1"/>
            <rFont val="Calibri"/>
            <family val="2"/>
            <scheme val="minor"/>
          </rPr>
          <t>Ставка откалибрована под Якутию на укрупненном уровне так, чтобы суммарная себестоимость строительства была ближе к среднему ориентиру ~97 тыс. руб./м² на 01.01.2026 для Якутии/ДФО, без двойного учета регионального коэффициента.
Источники:
https://prim.rbc.ru/prim/31/03/2026/69cb193b9a79477ebc404a80
https://erzrf.ru/news/minstroy-utverdil-normativy-sredney-stoimosti-kvadratnogo-metra-zhilya-na-iv-kvartal-2025-goda?search=%D1%86%D0%B5%D0%BD%D0%BE%D0%BE%D0%B1%D1%80%D0%B0</t>
        </r>
      </text>
    </comment>
    <comment ref="B54" authorId="0" shapeId="0" xr:uid="{00000000-0006-0000-0000-00001E000000}">
      <text>
        <r>
          <rPr>
            <sz val="11"/>
            <color theme="1"/>
            <rFont val="Calibri"/>
            <family val="2"/>
            <scheme val="minor"/>
          </rPr>
          <t>Ставка откалибрована под Якутию на укрупненном уровне так, чтобы суммарная себестоимость строительства была ближе к среднему ориентиру ~97 тыс. руб./м² на 01.01.2026 для Якутии/ДФО, без двойного учета регионального коэффициента.
Источники:
https://prim.rbc.ru/prim/31/03/2026/69cb193b9a79477ebc404a80
https://erzrf.ru/news/minstroy-utverdil-normativy-sredney-stoimosti-kvadratnogo-metra-zhilya-na-iv-kvartal-2025-goda?search=%D1%86%D0%B5%D0%BD%D0%BE%D0%BE%D0%B1%D1%80%D0%B0</t>
        </r>
      </text>
    </comment>
    <comment ref="B55" authorId="0" shapeId="0" xr:uid="{00000000-0006-0000-0000-00001F000000}">
      <text>
        <r>
          <rPr>
            <sz val="11"/>
            <color theme="1"/>
            <rFont val="Calibri"/>
            <family val="2"/>
            <scheme val="minor"/>
          </rPr>
          <t>Ставка откалибрована под Якутию на укрупненном уровне так, чтобы суммарная себестоимость строительства была ближе к среднему ориентиру ~97 тыс. руб./м² на 01.01.2026 для Якутии/ДФО, без двойного учета регионального коэффициента.
Источники:
https://prim.rbc.ru/prim/31/03/2026/69cb193b9a79477ebc404a80
https://erzrf.ru/news/minstroy-utverdil-normativy-sredney-stoimosti-kvadratnogo-metra-zhilya-na-iv-kvartal-2025-goda?search=%D1%86%D0%B5%D0%BD%D0%BE%D0%BE%D0%B1%D1%80%D0%B0</t>
        </r>
      </text>
    </comment>
    <comment ref="B56" authorId="0" shapeId="0" xr:uid="{00000000-0006-0000-0000-000020000000}">
      <text>
        <r>
          <rPr>
            <sz val="11"/>
            <color theme="1"/>
            <rFont val="Calibri"/>
            <family val="2"/>
            <scheme val="minor"/>
          </rPr>
          <t>Ставка откалибрована под Якутию на укрупненном уровне так, чтобы суммарная себестоимость строительства была ближе к среднему ориентиру ~97 тыс. руб./м² на 01.01.2026 для Якутии/ДФО, без двойного учета регионального коэффициента.
Источники:
https://prim.rbc.ru/prim/31/03/2026/69cb193b9a79477ebc404a80
https://erzrf.ru/news/minstroy-utverdil-normativy-sredney-stoimosti-kvadratnogo-metra-zhilya-na-iv-kvartal-2025-goda?search=%D1%86%D0%B5%D0%BD%D0%BE%D0%BE%D0%B1%D1%80%D0%B0</t>
        </r>
      </text>
    </comment>
    <comment ref="B58" authorId="0" shapeId="0" xr:uid="{00000000-0006-0000-0000-000021000000}">
      <text>
        <r>
          <rPr>
            <sz val="11"/>
            <color theme="1"/>
            <rFont val="Calibri"/>
            <family val="2"/>
            <scheme val="minor"/>
          </rPr>
          <t>Ставка откалибрована под Якутию на укрупненном уровне так, чтобы суммарная себестоимость строительства была ближе к среднему ориентиру ~97 тыс. руб./м² на 01.01.2026 для Якутии/ДФО, без двойного учета регионального коэффициента.
Источники:
https://prim.rbc.ru/prim/31/03/2026/69cb193b9a79477ebc404a80
https://erzrf.ru/news/minstroy-utverdil-normativy-sredney-stoimosti-kvadratnogo-metra-zhilya-na-iv-kvartal-2025-goda?search=%D1%86%D0%B5%D0%BD%D0%BE%D0%BE%D0%B1%D1%80%D0%B0</t>
        </r>
      </text>
    </comment>
  </commentList>
</comments>
</file>

<file path=xl/sharedStrings.xml><?xml version="1.0" encoding="utf-8"?>
<sst xmlns="http://schemas.openxmlformats.org/spreadsheetml/2006/main" count="538" uniqueCount="326">
  <si>
    <t>ВВОДНЫЕ ДАННЫЕ</t>
  </si>
  <si>
    <t>Параметр</t>
  </si>
  <si>
    <t>Значение</t>
  </si>
  <si>
    <t>Ед.</t>
  </si>
  <si>
    <t>Комментарий</t>
  </si>
  <si>
    <t>Название проекта</t>
  </si>
  <si>
    <t>Жилой проект</t>
  </si>
  <si>
    <t>Рабочее название</t>
  </si>
  <si>
    <t>Регион</t>
  </si>
  <si>
    <t>Якутия</t>
  </si>
  <si>
    <t>Пользовательский ввод</t>
  </si>
  <si>
    <t>Класс жилья</t>
  </si>
  <si>
    <t>Комфорт</t>
  </si>
  <si>
    <t>Дата старта проекта</t>
  </si>
  <si>
    <t>дата</t>
  </si>
  <si>
    <t>Начало модели</t>
  </si>
  <si>
    <t>Срок строительства</t>
  </si>
  <si>
    <t>мес</t>
  </si>
  <si>
    <t>До ввода</t>
  </si>
  <si>
    <t>Срок продаж</t>
  </si>
  <si>
    <t>Период продаж</t>
  </si>
  <si>
    <t>GBA</t>
  </si>
  <si>
    <t>м2</t>
  </si>
  <si>
    <t>Общая площадь здания</t>
  </si>
  <si>
    <t>GSA</t>
  </si>
  <si>
    <t>Продаваемая площадь</t>
  </si>
  <si>
    <t>Количество машиномест</t>
  </si>
  <si>
    <t>шт</t>
  </si>
  <si>
    <t>Машиноместа</t>
  </si>
  <si>
    <t>Цена продажи квартир</t>
  </si>
  <si>
    <t>руб/м2</t>
  </si>
  <si>
    <t>Актуализировано по рынку Якутска</t>
  </si>
  <si>
    <t>Цена машиноместа</t>
  </si>
  <si>
    <t>руб/шт</t>
  </si>
  <si>
    <t>Актуализировано по рынку машиномест</t>
  </si>
  <si>
    <t>Рост цен продаж</t>
  </si>
  <si>
    <t>%</t>
  </si>
  <si>
    <t>Годовой рост</t>
  </si>
  <si>
    <t>Инфляция строительства</t>
  </si>
  <si>
    <t>Годовой рост ставок</t>
  </si>
  <si>
    <t>Коэффициент региона</t>
  </si>
  <si>
    <t>x</t>
  </si>
  <si>
    <t>Региональная корректировка</t>
  </si>
  <si>
    <t>Минимальная доля собственных средств</t>
  </si>
  <si>
    <t>По кредитному договору</t>
  </si>
  <si>
    <t>Максимальный лимит кредита</t>
  </si>
  <si>
    <t>руб</t>
  </si>
  <si>
    <t>Комиссия за свободный лимит</t>
  </si>
  <si>
    <t>Ключевая ставка ЦБ</t>
  </si>
  <si>
    <t>Текущая ставка ЦБ на 20.04.2026</t>
  </si>
  <si>
    <t>Маржа банка</t>
  </si>
  <si>
    <t>Ставка I(v) 100%-110%</t>
  </si>
  <si>
    <t>Ставка I(v) 110%-120%</t>
  </si>
  <si>
    <t>Ставка I(v) 120%-130%</t>
  </si>
  <si>
    <t>Ставка I(v) &gt;130%</t>
  </si>
  <si>
    <t>Дата окончания отсрочки процентов</t>
  </si>
  <si>
    <t>Автоматически = месяц ввода (от даты старта и срока строительства)</t>
  </si>
  <si>
    <t>Дата полного погашения кредита</t>
  </si>
  <si>
    <t>Автоматически = месяц ввода / закрытия кредита</t>
  </si>
  <si>
    <t>Целевой DSCR</t>
  </si>
  <si>
    <t>Контрольный ориентир</t>
  </si>
  <si>
    <t>СТАВКИ ПО ГЛАВЕ 1</t>
  </si>
  <si>
    <t>1.1.1 Стоимость покупки права / доли / зданий</t>
  </si>
  <si>
    <t>руб/м2 GSA</t>
  </si>
  <si>
    <t>Укрупненно</t>
  </si>
  <si>
    <t>1.1.2 Арендные платежи / земельный налог</t>
  </si>
  <si>
    <t>1.2 Изменение ВРИ</t>
  </si>
  <si>
    <t>1.3 Прочие затраты на содержание ЗУ</t>
  </si>
  <si>
    <t>СТАВКИ ПО ГЛАВЕ 2</t>
  </si>
  <si>
    <t>2.1 Подготовительный период</t>
  </si>
  <si>
    <t>Откалибровано под Якутию / апрель 2026</t>
  </si>
  <si>
    <t>2.2.1 Земляные работы</t>
  </si>
  <si>
    <t>руб/м2 GBA</t>
  </si>
  <si>
    <t>2.2.2 Фундамент / сваи / ограждение котлована</t>
  </si>
  <si>
    <t>2.2.3 Подземная часть</t>
  </si>
  <si>
    <t>2.2.4 Надземная часть</t>
  </si>
  <si>
    <t>2.2.5 Ограждающие конструкции / кровля</t>
  </si>
  <si>
    <t>2.2.6 Отделка МОП и техпомещений</t>
  </si>
  <si>
    <t>2.2.7 Отделка реализуемых площадей</t>
  </si>
  <si>
    <t>Если есть чистовая</t>
  </si>
  <si>
    <t>2.2.8 Наружная отделка / проемы</t>
  </si>
  <si>
    <t>2.3.1 Вертикальный транспорт</t>
  </si>
  <si>
    <t>2.3.2 Сантехнические системы</t>
  </si>
  <si>
    <t>2.3.3 Отопление / ИТП</t>
  </si>
  <si>
    <t>2.3.4 Вентиляция / кондиционирование / дымоудаление</t>
  </si>
  <si>
    <t>2.3.5 Электроснабжение / слаботочка</t>
  </si>
  <si>
    <t>2.3.6 Газоснабжение внутреннее</t>
  </si>
  <si>
    <t>При наличии</t>
  </si>
  <si>
    <t>2.4.1 Наружное водоснабжение / ТП</t>
  </si>
  <si>
    <t>2.4.2 Наружные электросети / ТП / связь</t>
  </si>
  <si>
    <t>2.4.3 Наружное теплоснабжение / ЦТП</t>
  </si>
  <si>
    <t>2.4.4 Бытовая / ливневая канализация</t>
  </si>
  <si>
    <t>2.4.5 Наружное газоснабжение</t>
  </si>
  <si>
    <t>2.5 Благоустройство и озеленение</t>
  </si>
  <si>
    <t>2.6 Служба заказчика / охрана</t>
  </si>
  <si>
    <t>% от прямых затрат</t>
  </si>
  <si>
    <t>2.7 Проектирование / изыскания / экспертиза / авторский надзор</t>
  </si>
  <si>
    <t>2.8 Резерв на непредвиденные</t>
  </si>
  <si>
    <t>% от главы 2 до резерва</t>
  </si>
  <si>
    <t>СТАВКИ ПО ГЛАВЕ 3</t>
  </si>
  <si>
    <t>3.1 Коммерческие расходы</t>
  </si>
  <si>
    <t>% от выручки</t>
  </si>
  <si>
    <t>НОРМЫ ДЛЯ ПОСТАВОК</t>
  </si>
  <si>
    <t>Бетон на 1 м2 GBA</t>
  </si>
  <si>
    <t>м3/м2</t>
  </si>
  <si>
    <t>Для графика поставок</t>
  </si>
  <si>
    <t>Арматура на 1 м2 GBA</t>
  </si>
  <si>
    <t>т/м2</t>
  </si>
  <si>
    <t>ФИНАНСОВАЯ МОДЕЛЬ / СТРУКТУРА ЗАТРАТ</t>
  </si>
  <si>
    <t>Разбивка СМР</t>
  </si>
  <si>
    <t>Материалы</t>
  </si>
  <si>
    <t>Работы</t>
  </si>
  <si>
    <t>Глава</t>
  </si>
  <si>
    <t>Код</t>
  </si>
  <si>
    <t>Статья</t>
  </si>
  <si>
    <t>База</t>
  </si>
  <si>
    <t>Ставка</t>
  </si>
  <si>
    <t>Коэфф.</t>
  </si>
  <si>
    <t>Сумма</t>
  </si>
  <si>
    <t>Примечание</t>
  </si>
  <si>
    <t>Материалы, %</t>
  </si>
  <si>
    <t>1</t>
  </si>
  <si>
    <t>1.1.1</t>
  </si>
  <si>
    <t>Стоимость покупки права / доли / зданий</t>
  </si>
  <si>
    <t>м2 GSA</t>
  </si>
  <si>
    <t>1.1.2</t>
  </si>
  <si>
    <t>Арендные платежи / земельный налог</t>
  </si>
  <si>
    <t>1.2</t>
  </si>
  <si>
    <t>Изменение ВРИ</t>
  </si>
  <si>
    <t>1.3</t>
  </si>
  <si>
    <t>Прочие затраты на содержание ЗУ</t>
  </si>
  <si>
    <t>ИТОГО ГЛАВА 1</t>
  </si>
  <si>
    <t>2</t>
  </si>
  <si>
    <t>2.1</t>
  </si>
  <si>
    <t>Подготовительный период</t>
  </si>
  <si>
    <t>2.2.1</t>
  </si>
  <si>
    <t>Земляные работы</t>
  </si>
  <si>
    <t>м2 GBA</t>
  </si>
  <si>
    <t>2.2.2</t>
  </si>
  <si>
    <t>Фундаментная плита / свайное основание / ограждение котлована</t>
  </si>
  <si>
    <t>2.2.3</t>
  </si>
  <si>
    <t>Устройство несущих конструкций подземной части</t>
  </si>
  <si>
    <t>2.2.4</t>
  </si>
  <si>
    <t>Устройство несущих конструкций надземной части</t>
  </si>
  <si>
    <t>2.2.5</t>
  </si>
  <si>
    <t>Ограждающие конструкции / внутренние стены / кровля</t>
  </si>
  <si>
    <t>2.2.6</t>
  </si>
  <si>
    <t>Внутренняя отделка МОП и техпомещений</t>
  </si>
  <si>
    <t>2.2.7</t>
  </si>
  <si>
    <t>Отделка реализуемых площадей</t>
  </si>
  <si>
    <t>2.2.8</t>
  </si>
  <si>
    <t>Наружная отделка / заполнение проемов</t>
  </si>
  <si>
    <t>2.3.1</t>
  </si>
  <si>
    <t>Вертикальный транспорт</t>
  </si>
  <si>
    <t>2.3.2</t>
  </si>
  <si>
    <t>Сантехнические системы</t>
  </si>
  <si>
    <t>2.3.3</t>
  </si>
  <si>
    <t>Отопление / ИТП / узел учета</t>
  </si>
  <si>
    <t>2.3.4</t>
  </si>
  <si>
    <t>Вентиляция / кондиционирование / дымоудаление</t>
  </si>
  <si>
    <t>2.3.5</t>
  </si>
  <si>
    <t>Электроснабжение / электроосвещение / слаботочка</t>
  </si>
  <si>
    <t>2.3.6</t>
  </si>
  <si>
    <t>Газоснабжение внутреннее</t>
  </si>
  <si>
    <t>2.4.1</t>
  </si>
  <si>
    <t>Наружное водоснабжение / ВЗУ / ТП</t>
  </si>
  <si>
    <t>2.4.2</t>
  </si>
  <si>
    <t>Наружные электросети / ТП / связь</t>
  </si>
  <si>
    <t>2.4.3</t>
  </si>
  <si>
    <t>Наружное теплоснабжение / ЦТП / котельная</t>
  </si>
  <si>
    <t>2.4.4</t>
  </si>
  <si>
    <t>Бытовая и ливневая канализация</t>
  </si>
  <si>
    <t>2.4.5</t>
  </si>
  <si>
    <t>Наружное газоснабжение</t>
  </si>
  <si>
    <t>2.5</t>
  </si>
  <si>
    <t>Благоустройство и озеленение</t>
  </si>
  <si>
    <t>2.6</t>
  </si>
  <si>
    <t>Служба заказчика-застройщика / охрана</t>
  </si>
  <si>
    <t>2.7</t>
  </si>
  <si>
    <t>Проектные и изыскательские работы / экспертиза / авторский надзор</t>
  </si>
  <si>
    <t>2.8</t>
  </si>
  <si>
    <t>Резерв на непредвиденные расходы</t>
  </si>
  <si>
    <t>2.9</t>
  </si>
  <si>
    <t>Резерв на инфляционное удорожание</t>
  </si>
  <si>
    <t>ИТОГО ГЛАВА 2</t>
  </si>
  <si>
    <t>3</t>
  </si>
  <si>
    <t>3.1</t>
  </si>
  <si>
    <t>Коммерческие расходы</t>
  </si>
  <si>
    <t>ИТОГО ГЛАВА 3</t>
  </si>
  <si>
    <t>ИТОГО СТОИМОСТЬ ПРОЕКТА</t>
  </si>
  <si>
    <t>ИТОГО СМР (2.1–2.5)</t>
  </si>
  <si>
    <t>ИТОГО материалы СМР</t>
  </si>
  <si>
    <t>ИТОГО работы СМР</t>
  </si>
  <si>
    <t>ГРАФИК ПРОИЗВОДСТВА РАБОТ</t>
  </si>
  <si>
    <t>Сроки этапов привязаны к Вводные!B8 (Срок строительства)</t>
  </si>
  <si>
    <t>Этап</t>
  </si>
  <si>
    <t>Начало, мес</t>
  </si>
  <si>
    <t>Длительность, мес</t>
  </si>
  <si>
    <t>Окончание, мес</t>
  </si>
  <si>
    <t>Стоимость</t>
  </si>
  <si>
    <t>Фундамент / сваи / котлован</t>
  </si>
  <si>
    <t>Подземная часть</t>
  </si>
  <si>
    <t>Надземная часть</t>
  </si>
  <si>
    <t>Фасады / кровля / проемы</t>
  </si>
  <si>
    <t>Инженерные системы</t>
  </si>
  <si>
    <t>Отделка МОП / техпомещений / реализуемых площадей</t>
  </si>
  <si>
    <t>Наружные сети</t>
  </si>
  <si>
    <t>Заказчик / проектирование / резервы</t>
  </si>
  <si>
    <t>ИТОГО CAPEX В МЕСЯЦ</t>
  </si>
  <si>
    <t>ПРОДАЖИ И ВЫРУЧКА</t>
  </si>
  <si>
    <t>Месяц</t>
  </si>
  <si>
    <t>Дата</t>
  </si>
  <si>
    <t>Вес продаж</t>
  </si>
  <si>
    <t>Доля</t>
  </si>
  <si>
    <t>Продано, м2</t>
  </si>
  <si>
    <t>Цена, руб/м2</t>
  </si>
  <si>
    <t>Выручка квартир</t>
  </si>
  <si>
    <t>Продано м/мест</t>
  </si>
  <si>
    <t>Выручка м/мест</t>
  </si>
  <si>
    <t>Итого выручка</t>
  </si>
  <si>
    <t>Накопленная выручка</t>
  </si>
  <si>
    <t>Эскроу накопленно</t>
  </si>
  <si>
    <t>Раскрытие эскроу</t>
  </si>
  <si>
    <t>Итого выручка проекта</t>
  </si>
  <si>
    <t>Средняя цена</t>
  </si>
  <si>
    <t>Доступно на обслуживание долга</t>
  </si>
  <si>
    <t>ИТОГО</t>
  </si>
  <si>
    <t>КРЕДИТ И ПРОЦЕНТЫ</t>
  </si>
  <si>
    <t>Лимит периода</t>
  </si>
  <si>
    <t>CAPEX</t>
  </si>
  <si>
    <t>Коммерч. расходы</t>
  </si>
  <si>
    <t>Всего затрат</t>
  </si>
  <si>
    <t>Собств. средства</t>
  </si>
  <si>
    <t>Потребность в кредите</t>
  </si>
  <si>
    <t>Выборка</t>
  </si>
  <si>
    <t>Долг на начало</t>
  </si>
  <si>
    <t>Коэфф. покрытия</t>
  </si>
  <si>
    <t>Ставка, годовая</t>
  </si>
  <si>
    <t>Начисленные проценты</t>
  </si>
  <si>
    <t>Капитализация процентов</t>
  </si>
  <si>
    <t>Проценты к оплате</t>
  </si>
  <si>
    <t>Комиссия за лимит</t>
  </si>
  <si>
    <t>Погашение основного долга</t>
  </si>
  <si>
    <t>Долг на конец</t>
  </si>
  <si>
    <t>Ключевые метрики</t>
  </si>
  <si>
    <t>Пик долга</t>
  </si>
  <si>
    <t>Капитализированные %</t>
  </si>
  <si>
    <t>Комиссия</t>
  </si>
  <si>
    <t>Остаток долга</t>
  </si>
  <si>
    <t>ДЕНЕЖНЫЙ ПОТОК ПРОЕКТА</t>
  </si>
  <si>
    <t>Всего операционных затрат</t>
  </si>
  <si>
    <t>Выборка кредита</t>
  </si>
  <si>
    <t>Поступления на эскроу</t>
  </si>
  <si>
    <t>CFADS</t>
  </si>
  <si>
    <t>Погашение долга</t>
  </si>
  <si>
    <t>Чистый поток после долга</t>
  </si>
  <si>
    <t>Накопленный поток</t>
  </si>
  <si>
    <t>ГРАФИК ПОСТАВОК МАТЕРИАЛОВ</t>
  </si>
  <si>
    <t>Дата потребности</t>
  </si>
  <si>
    <t>Бетон, м3</t>
  </si>
  <si>
    <t>Арматура, т</t>
  </si>
  <si>
    <t>Фасадные материалы, руб</t>
  </si>
  <si>
    <t>Инженерное оборудование, руб</t>
  </si>
  <si>
    <t>Дата заказа бетона</t>
  </si>
  <si>
    <t>Дата заказа арматуры</t>
  </si>
  <si>
    <t>Дата заказа фасада</t>
  </si>
  <si>
    <t>Проверить срок логистики по региону</t>
  </si>
  <si>
    <t>DSCR / КВАРТАЛЬНЫЙ КОНТРОЛЬ</t>
  </si>
  <si>
    <t>Квартал</t>
  </si>
  <si>
    <t>Период</t>
  </si>
  <si>
    <t>Поступления на обслуживание долга</t>
  </si>
  <si>
    <t>Операционные расходы</t>
  </si>
  <si>
    <t>Debt Service</t>
  </si>
  <si>
    <t>DSCR</t>
  </si>
  <si>
    <t>Статус</t>
  </si>
  <si>
    <t>Q1</t>
  </si>
  <si>
    <t>М1-М3</t>
  </si>
  <si>
    <t>Q2</t>
  </si>
  <si>
    <t>М4-М6</t>
  </si>
  <si>
    <t>Q3</t>
  </si>
  <si>
    <t>М7-М9</t>
  </si>
  <si>
    <t>Q4</t>
  </si>
  <si>
    <t>М10-М12</t>
  </si>
  <si>
    <t>Q5</t>
  </si>
  <si>
    <t>М13-М15</t>
  </si>
  <si>
    <t>Q6</t>
  </si>
  <si>
    <t>М16-М18</t>
  </si>
  <si>
    <t>Q7</t>
  </si>
  <si>
    <t>М19-М21</t>
  </si>
  <si>
    <t>Q8</t>
  </si>
  <si>
    <t>М22-М24</t>
  </si>
  <si>
    <t>Q9</t>
  </si>
  <si>
    <t>М25-М27</t>
  </si>
  <si>
    <t>Q10</t>
  </si>
  <si>
    <t>М28-М30</t>
  </si>
  <si>
    <t>Q11</t>
  </si>
  <si>
    <t>М31-М33</t>
  </si>
  <si>
    <t>Q12</t>
  </si>
  <si>
    <t>М34-М36</t>
  </si>
  <si>
    <t>СВОДНЫЕ ПОКАЗАТЕЛИ</t>
  </si>
  <si>
    <t>Показатель</t>
  </si>
  <si>
    <t>Выручка проекта</t>
  </si>
  <si>
    <t>Итого выручка квартир и машиномест</t>
  </si>
  <si>
    <t>Стоимость проекта</t>
  </si>
  <si>
    <t>Итого главы 1-3</t>
  </si>
  <si>
    <t>Глава 1</t>
  </si>
  <si>
    <t>Земля и связанные расходы</t>
  </si>
  <si>
    <t>Глава 2</t>
  </si>
  <si>
    <t>Строительство</t>
  </si>
  <si>
    <t>Глава 3</t>
  </si>
  <si>
    <t>Маржа, руб</t>
  </si>
  <si>
    <t>Выручка минус стоимость</t>
  </si>
  <si>
    <t>Маржа, %</t>
  </si>
  <si>
    <t>Себестоимость на 1 м2 GSA</t>
  </si>
  <si>
    <t>Средняя цена продажи на 1 м2</t>
  </si>
  <si>
    <t>Капитализированные проценты</t>
  </si>
  <si>
    <t>Комиссия банка</t>
  </si>
  <si>
    <t>Минимальный DSCR</t>
  </si>
  <si>
    <t>Смотреть лист ДСCR</t>
  </si>
  <si>
    <t>Доля собственных средств</t>
  </si>
  <si>
    <t>Остаток долга на конец модели</t>
  </si>
  <si>
    <t>Модель построена в девелоперской логике и полностью на русском языке. Все статьи затрат считаются от м2.</t>
  </si>
  <si>
    <t>Примечание по исправлению</t>
  </si>
  <si>
    <t>Исправлены ссылки, вызывавшие #ЗНАЧ! во вкладке "Кредит", и логика погашения/раскрытия переведена на совпадение месяца, а не точной даты.</t>
  </si>
  <si>
    <t>Кредит / денежный поток / DSCR переведены в более жесткую девелоперскую логику: обслуживание долга идет из доступного cash-in после раскрытия эскроу.</t>
  </si>
  <si>
    <t>Итоговая маржа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</si>
</sst>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dd\.mm\.yyyy"/>
    <numFmt numFmtId="165" formatCode="#,##0_);[Red]\(#,##0\);\-"/>
    <numFmt numFmtId="166" formatCode="0.0%;[Red]\(0.0%\);\-"/>
    <numFmt numFmtId="167" formatCode="0.00\x"/>
    <numFmt numFmtId="168" formatCode="#,##0.0"/>
    <numFmt numFmtId="169" formatCode="0.0%"/>
  </numFmts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sz val="11"/>
      <color rgb="FF0000FF"/>
      <name val="Calibri"/>
    </font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E2F0D9"/>
      </patternFill>
    </fill>
    <fill>
      <patternFill patternType="solid">
        <fgColor rgb="FFE7E6E6"/>
      </patternFill>
    </fill>
  </fills>
  <borders count="2">
    <border>
      <left/>
      <right/>
      <top/>
      <bottom/>
      <diagonal/>
    </border>
    <border>
      <left/>
      <right/>
      <top style="medium">
        <color rgb="FF000000"/>
      </top>
      <bottom/>
      <diagonal/>
    </border>
  </borders>
  <cellStyleXfs count="2">
    <xf numFmtId="0" fontId="0" fillId="0" borderId="0"/>
    <xf numFmtId="0" fontId="5" fillId="0" borderId="0"/>
  </cellStyleXfs>
  <cellXfs count="38">
    <xf numFmtId="0" fontId="0" fillId="0" borderId="0" xfId="0"/>
    <xf numFmtId="0" fontId="0" fillId="0" borderId="0" xfId="1" applyFont="1" applyAlignment="1">
      <alignment vertical="center" wrapText="1"/>
    </xf>
    <xf numFmtId="0" fontId="2" fillId="3" borderId="0" xfId="1" applyFont="1" applyFill="1" applyAlignment="1">
      <alignment vertical="center" wrapText="1"/>
    </xf>
    <xf numFmtId="0" fontId="3" fillId="4" borderId="0" xfId="1" applyFont="1" applyFill="1" applyAlignment="1">
      <alignment vertical="center" wrapText="1"/>
    </xf>
    <xf numFmtId="0" fontId="4" fillId="0" borderId="0" xfId="1" applyFont="1" applyAlignment="1">
      <alignment vertical="center" wrapText="1"/>
    </xf>
    <xf numFmtId="0" fontId="2" fillId="0" borderId="1" xfId="1" applyFont="1" applyBorder="1" applyAlignment="1">
      <alignment vertical="center" wrapText="1"/>
    </xf>
    <xf numFmtId="0" fontId="4" fillId="0" borderId="1" xfId="1" applyFont="1" applyBorder="1" applyAlignment="1">
      <alignment vertical="center" wrapText="1"/>
    </xf>
    <xf numFmtId="17" fontId="0" fillId="0" borderId="0" xfId="1" applyNumberFormat="1" applyFont="1" applyAlignment="1">
      <alignment vertical="center" wrapText="1"/>
    </xf>
    <xf numFmtId="0" fontId="2" fillId="7" borderId="0" xfId="1" applyFont="1" applyFill="1" applyAlignment="1">
      <alignment vertical="center" wrapText="1"/>
    </xf>
    <xf numFmtId="164" fontId="3" fillId="4" borderId="0" xfId="1" applyNumberFormat="1" applyFont="1" applyFill="1" applyAlignment="1">
      <alignment vertical="center" wrapText="1"/>
    </xf>
    <xf numFmtId="165" fontId="3" fillId="4" borderId="0" xfId="1" applyNumberFormat="1" applyFont="1" applyFill="1" applyAlignment="1">
      <alignment vertical="center" wrapText="1"/>
    </xf>
    <xf numFmtId="166" fontId="3" fillId="4" borderId="0" xfId="1" applyNumberFormat="1" applyFont="1" applyFill="1" applyAlignment="1">
      <alignment vertical="center" wrapText="1"/>
    </xf>
    <xf numFmtId="167" fontId="3" fillId="4" borderId="0" xfId="1" applyNumberFormat="1" applyFont="1" applyFill="1" applyAlignment="1">
      <alignment vertical="center" wrapText="1"/>
    </xf>
    <xf numFmtId="165" fontId="4" fillId="0" borderId="0" xfId="1" applyNumberFormat="1" applyFont="1" applyAlignment="1">
      <alignment vertical="center" wrapText="1"/>
    </xf>
    <xf numFmtId="165" fontId="4" fillId="0" borderId="1" xfId="1" applyNumberFormat="1" applyFont="1" applyBorder="1" applyAlignment="1">
      <alignment vertical="center" wrapText="1"/>
    </xf>
    <xf numFmtId="165" fontId="4" fillId="5" borderId="1" xfId="1" applyNumberFormat="1" applyFont="1" applyFill="1" applyBorder="1" applyAlignment="1">
      <alignment vertical="center" wrapText="1"/>
    </xf>
    <xf numFmtId="166" fontId="4" fillId="0" borderId="0" xfId="1" applyNumberFormat="1" applyFont="1" applyAlignment="1">
      <alignment vertical="center" wrapText="1"/>
    </xf>
    <xf numFmtId="165" fontId="4" fillId="6" borderId="1" xfId="1" applyNumberFormat="1" applyFont="1" applyFill="1" applyBorder="1" applyAlignment="1">
      <alignment vertical="center" wrapText="1"/>
    </xf>
    <xf numFmtId="165" fontId="0" fillId="0" borderId="0" xfId="1" applyNumberFormat="1" applyFont="1" applyAlignment="1">
      <alignment vertical="center" wrapText="1"/>
    </xf>
    <xf numFmtId="165" fontId="2" fillId="0" borderId="1" xfId="1" applyNumberFormat="1" applyFont="1" applyBorder="1" applyAlignment="1">
      <alignment vertical="center" wrapText="1"/>
    </xf>
    <xf numFmtId="166" fontId="0" fillId="0" borderId="0" xfId="1" applyNumberFormat="1" applyFont="1" applyAlignment="1">
      <alignment vertical="center" wrapText="1"/>
    </xf>
    <xf numFmtId="168" fontId="0" fillId="0" borderId="0" xfId="1" applyNumberFormat="1" applyFont="1" applyAlignment="1">
      <alignment vertical="center" wrapText="1"/>
    </xf>
    <xf numFmtId="167" fontId="0" fillId="0" borderId="0" xfId="1" applyNumberFormat="1" applyFont="1" applyAlignment="1">
      <alignment vertical="center" wrapText="1"/>
    </xf>
    <xf numFmtId="164" fontId="0" fillId="0" borderId="0" xfId="1" applyNumberFormat="1" applyFont="1" applyAlignment="1">
      <alignment vertical="center" wrapText="1"/>
    </xf>
    <xf numFmtId="167" fontId="0" fillId="5" borderId="0" xfId="1" applyNumberFormat="1" applyFont="1" applyFill="1" applyAlignment="1">
      <alignment vertical="center" wrapText="1"/>
    </xf>
    <xf numFmtId="166" fontId="0" fillId="5" borderId="0" xfId="1" applyNumberFormat="1" applyFont="1" applyFill="1" applyAlignment="1">
      <alignment vertical="center" wrapText="1"/>
    </xf>
    <xf numFmtId="0" fontId="0" fillId="0" borderId="0" xfId="1" applyFont="1" applyAlignment="1">
      <alignment wrapText="1"/>
    </xf>
    <xf numFmtId="165" fontId="0" fillId="0" borderId="0" xfId="1" applyNumberFormat="1" applyFont="1"/>
    <xf numFmtId="0" fontId="1" fillId="2" borderId="0" xfId="1" applyFont="1" applyFill="1"/>
    <xf numFmtId="169" fontId="0" fillId="0" borderId="0" xfId="1" applyNumberFormat="1" applyFont="1" applyAlignment="1">
      <alignment vertical="center" wrapText="1"/>
    </xf>
    <xf numFmtId="0" fontId="2" fillId="2" borderId="0" xfId="1" applyFont="1" applyFill="1"/>
    <xf numFmtId="165" fontId="2" fillId="2" borderId="0" xfId="1" applyNumberFormat="1" applyFont="1" applyFill="1"/>
    <xf numFmtId="0" fontId="0" fillId="0" borderId="0" xfId="0"/>
    <xf numFmtId="169" fontId="6" fillId="0" borderId="0" xfId="1" applyNumberFormat="1" applyFont="1" applyAlignment="1">
      <alignment vertical="center" wrapText="1"/>
    </xf>
    <xf numFmtId="165" fontId="4" fillId="0" borderId="0" xfId="1" applyNumberFormat="1" applyFont="1" applyAlignment="1">
      <alignment vertical="center" wrapText="1"/>
    </xf>
    <xf numFmtId="165" fontId="4" fillId="6" borderId="1" xfId="1" applyNumberFormat="1" applyFont="1" applyFill="1" applyBorder="1" applyAlignment="1">
      <alignment vertical="center" wrapText="1"/>
    </xf>
    <xf numFmtId="0" fontId="1" fillId="2" borderId="0" xfId="1" applyFont="1" applyFill="1" applyAlignment="1">
      <alignment vertical="center" wrapText="1"/>
    </xf>
    <xf numFmtId="0" fontId="0" fillId="0" borderId="0" xfId="0"/>
  </cellXfs>
  <cellStyles count="2">
    <cellStyle name="Normal" xfId="1" xr:uid="{00000000-0005-0000-0000-000001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8"/>
  <sheetViews>
    <sheetView showGridLines="0" topLeftCell="A13" workbookViewId="0">
      <selection activeCell="B40" sqref="B40"/>
    </sheetView>
  </sheetViews>
  <sheetFormatPr defaultRowHeight="15" x14ac:dyDescent="0.25"/>
  <cols>
    <col min="1" max="1" width="46" style="32" customWidth="1"/>
    <col min="2" max="2" width="18" style="32" customWidth="1"/>
    <col min="3" max="3" width="14" style="32" customWidth="1"/>
    <col min="4" max="4" width="30" style="32" customWidth="1"/>
  </cols>
  <sheetData>
    <row r="1" spans="1:4" x14ac:dyDescent="0.25">
      <c r="A1" s="36" t="s">
        <v>0</v>
      </c>
      <c r="B1" s="37"/>
      <c r="C1" s="37"/>
      <c r="D1" s="37"/>
    </row>
    <row r="2" spans="1:4" x14ac:dyDescent="0.25">
      <c r="A2" s="1"/>
      <c r="B2" s="1"/>
      <c r="C2" s="1"/>
      <c r="D2" s="1"/>
    </row>
    <row r="3" spans="1:4" x14ac:dyDescent="0.25">
      <c r="A3" s="2" t="s">
        <v>1</v>
      </c>
      <c r="B3" s="2" t="s">
        <v>2</v>
      </c>
      <c r="C3" s="2" t="s">
        <v>3</v>
      </c>
      <c r="D3" s="2" t="s">
        <v>4</v>
      </c>
    </row>
    <row r="4" spans="1:4" x14ac:dyDescent="0.25">
      <c r="A4" s="1" t="s">
        <v>5</v>
      </c>
      <c r="B4" s="3" t="s">
        <v>6</v>
      </c>
      <c r="C4" s="1"/>
      <c r="D4" s="1" t="s">
        <v>7</v>
      </c>
    </row>
    <row r="5" spans="1:4" x14ac:dyDescent="0.25">
      <c r="A5" s="1" t="s">
        <v>8</v>
      </c>
      <c r="B5" s="3" t="s">
        <v>9</v>
      </c>
      <c r="C5" s="1"/>
      <c r="D5" s="1" t="s">
        <v>10</v>
      </c>
    </row>
    <row r="6" spans="1:4" x14ac:dyDescent="0.25">
      <c r="A6" s="1" t="s">
        <v>11</v>
      </c>
      <c r="B6" s="3" t="s">
        <v>12</v>
      </c>
      <c r="C6" s="1"/>
      <c r="D6" s="1" t="s">
        <v>10</v>
      </c>
    </row>
    <row r="7" spans="1:4" x14ac:dyDescent="0.25">
      <c r="A7" s="1" t="s">
        <v>13</v>
      </c>
      <c r="B7" s="9">
        <v>46054</v>
      </c>
      <c r="C7" s="1" t="s">
        <v>14</v>
      </c>
      <c r="D7" s="1" t="s">
        <v>15</v>
      </c>
    </row>
    <row r="8" spans="1:4" x14ac:dyDescent="0.25">
      <c r="A8" s="1" t="s">
        <v>16</v>
      </c>
      <c r="B8" s="10">
        <v>18</v>
      </c>
      <c r="C8" s="1" t="s">
        <v>17</v>
      </c>
      <c r="D8" s="1" t="s">
        <v>18</v>
      </c>
    </row>
    <row r="9" spans="1:4" x14ac:dyDescent="0.25">
      <c r="A9" s="1" t="s">
        <v>19</v>
      </c>
      <c r="B9" s="10">
        <v>16</v>
      </c>
      <c r="C9" s="1" t="s">
        <v>17</v>
      </c>
      <c r="D9" s="1" t="s">
        <v>20</v>
      </c>
    </row>
    <row r="10" spans="1:4" x14ac:dyDescent="0.25">
      <c r="A10" s="1" t="s">
        <v>21</v>
      </c>
      <c r="B10" s="10">
        <v>10795.3</v>
      </c>
      <c r="C10" s="1" t="s">
        <v>22</v>
      </c>
      <c r="D10" s="1" t="s">
        <v>23</v>
      </c>
    </row>
    <row r="11" spans="1:4" x14ac:dyDescent="0.25">
      <c r="A11" s="1" t="s">
        <v>24</v>
      </c>
      <c r="B11" s="10">
        <v>7860.32</v>
      </c>
      <c r="C11" s="1" t="s">
        <v>22</v>
      </c>
      <c r="D11" s="1" t="s">
        <v>25</v>
      </c>
    </row>
    <row r="12" spans="1:4" x14ac:dyDescent="0.25">
      <c r="A12" s="1" t="s">
        <v>26</v>
      </c>
      <c r="B12" s="10">
        <v>6</v>
      </c>
      <c r="C12" s="1" t="s">
        <v>27</v>
      </c>
      <c r="D12" s="1" t="s">
        <v>28</v>
      </c>
    </row>
    <row r="13" spans="1:4" ht="30" customHeight="1" x14ac:dyDescent="0.25">
      <c r="A13" s="1" t="s">
        <v>29</v>
      </c>
      <c r="B13" s="10">
        <v>175000</v>
      </c>
      <c r="C13" s="1" t="s">
        <v>30</v>
      </c>
      <c r="D13" s="1" t="s">
        <v>31</v>
      </c>
    </row>
    <row r="14" spans="1:4" ht="30" customHeight="1" x14ac:dyDescent="0.25">
      <c r="A14" s="1" t="s">
        <v>32</v>
      </c>
      <c r="B14" s="10">
        <v>1600000</v>
      </c>
      <c r="C14" s="1" t="s">
        <v>33</v>
      </c>
      <c r="D14" s="1" t="s">
        <v>34</v>
      </c>
    </row>
    <row r="15" spans="1:4" x14ac:dyDescent="0.25">
      <c r="A15" s="1" t="s">
        <v>35</v>
      </c>
      <c r="B15" s="11">
        <v>0.08</v>
      </c>
      <c r="C15" s="1" t="s">
        <v>36</v>
      </c>
      <c r="D15" s="1" t="s">
        <v>37</v>
      </c>
    </row>
    <row r="16" spans="1:4" x14ac:dyDescent="0.25">
      <c r="A16" s="1" t="s">
        <v>38</v>
      </c>
      <c r="B16" s="11">
        <v>7.5999999999999998E-2</v>
      </c>
      <c r="C16" s="1" t="s">
        <v>36</v>
      </c>
      <c r="D16" s="1" t="s">
        <v>39</v>
      </c>
    </row>
    <row r="17" spans="1:4" x14ac:dyDescent="0.25">
      <c r="A17" s="1" t="s">
        <v>40</v>
      </c>
      <c r="B17" s="12">
        <v>1</v>
      </c>
      <c r="C17" s="1" t="s">
        <v>41</v>
      </c>
      <c r="D17" s="1" t="s">
        <v>42</v>
      </c>
    </row>
    <row r="18" spans="1:4" x14ac:dyDescent="0.25">
      <c r="A18" s="1" t="s">
        <v>43</v>
      </c>
      <c r="B18" s="11">
        <v>0.15029999999999999</v>
      </c>
      <c r="C18" s="1" t="s">
        <v>36</v>
      </c>
      <c r="D18" s="1" t="s">
        <v>44</v>
      </c>
    </row>
    <row r="19" spans="1:4" x14ac:dyDescent="0.25">
      <c r="A19" s="1" t="s">
        <v>45</v>
      </c>
      <c r="B19" s="10">
        <v>1084000000</v>
      </c>
      <c r="C19" s="1" t="s">
        <v>46</v>
      </c>
      <c r="D19" s="1" t="s">
        <v>44</v>
      </c>
    </row>
    <row r="20" spans="1:4" x14ac:dyDescent="0.25">
      <c r="A20" s="1" t="s">
        <v>47</v>
      </c>
      <c r="B20" s="11">
        <v>2.8999999999999998E-3</v>
      </c>
      <c r="C20" s="1" t="s">
        <v>36</v>
      </c>
      <c r="D20" s="1" t="s">
        <v>44</v>
      </c>
    </row>
    <row r="21" spans="1:4" ht="30" customHeight="1" x14ac:dyDescent="0.25">
      <c r="A21" s="1" t="s">
        <v>48</v>
      </c>
      <c r="B21" s="11">
        <v>0.15</v>
      </c>
      <c r="C21" s="1" t="s">
        <v>36</v>
      </c>
      <c r="D21" s="1" t="s">
        <v>49</v>
      </c>
    </row>
    <row r="22" spans="1:4" x14ac:dyDescent="0.25">
      <c r="A22" s="1" t="s">
        <v>50</v>
      </c>
      <c r="B22" s="11">
        <v>4.8000000000000001E-2</v>
      </c>
      <c r="C22" s="1" t="s">
        <v>36</v>
      </c>
      <c r="D22" s="1" t="s">
        <v>44</v>
      </c>
    </row>
    <row r="23" spans="1:4" x14ac:dyDescent="0.25">
      <c r="A23" s="1" t="s">
        <v>51</v>
      </c>
      <c r="B23" s="11">
        <v>4.8000000000000001E-2</v>
      </c>
      <c r="C23" s="1" t="s">
        <v>36</v>
      </c>
      <c r="D23" s="1" t="s">
        <v>44</v>
      </c>
    </row>
    <row r="24" spans="1:4" x14ac:dyDescent="0.25">
      <c r="A24" s="1" t="s">
        <v>52</v>
      </c>
      <c r="B24" s="11">
        <v>3.1600000000000003E-2</v>
      </c>
      <c r="C24" s="1" t="s">
        <v>36</v>
      </c>
      <c r="D24" s="1" t="s">
        <v>44</v>
      </c>
    </row>
    <row r="25" spans="1:4" x14ac:dyDescent="0.25">
      <c r="A25" s="1" t="s">
        <v>53</v>
      </c>
      <c r="B25" s="11">
        <v>1.5100000000000001E-2</v>
      </c>
      <c r="C25" s="1" t="s">
        <v>36</v>
      </c>
      <c r="D25" s="1" t="s">
        <v>44</v>
      </c>
    </row>
    <row r="26" spans="1:4" x14ac:dyDescent="0.25">
      <c r="A26" s="1" t="s">
        <v>54</v>
      </c>
      <c r="B26" s="11">
        <v>1E-4</v>
      </c>
      <c r="C26" s="1" t="s">
        <v>36</v>
      </c>
      <c r="D26" s="1" t="s">
        <v>44</v>
      </c>
    </row>
    <row r="27" spans="1:4" ht="45" customHeight="1" x14ac:dyDescent="0.25">
      <c r="A27" s="1" t="s">
        <v>55</v>
      </c>
      <c r="B27" s="9">
        <f>EDATE(B7,B8-1)</f>
        <v>46569</v>
      </c>
      <c r="C27" s="1" t="s">
        <v>14</v>
      </c>
      <c r="D27" s="1" t="s">
        <v>56</v>
      </c>
    </row>
    <row r="28" spans="1:4" ht="30" customHeight="1" x14ac:dyDescent="0.25">
      <c r="A28" s="1" t="s">
        <v>57</v>
      </c>
      <c r="B28" s="9">
        <f>EDATE(B7,B8-1)</f>
        <v>46569</v>
      </c>
      <c r="C28" s="1" t="s">
        <v>14</v>
      </c>
      <c r="D28" s="1" t="s">
        <v>58</v>
      </c>
    </row>
    <row r="29" spans="1:4" x14ac:dyDescent="0.25">
      <c r="A29" s="1" t="s">
        <v>59</v>
      </c>
      <c r="B29" s="12">
        <v>1.2</v>
      </c>
      <c r="C29" s="1" t="s">
        <v>41</v>
      </c>
      <c r="D29" s="1" t="s">
        <v>60</v>
      </c>
    </row>
    <row r="30" spans="1:4" x14ac:dyDescent="0.25">
      <c r="A30" s="1"/>
      <c r="B30" s="1"/>
      <c r="C30" s="1"/>
      <c r="D30" s="1"/>
    </row>
    <row r="31" spans="1:4" x14ac:dyDescent="0.25">
      <c r="A31" s="2" t="s">
        <v>61</v>
      </c>
      <c r="B31" s="2"/>
      <c r="C31" s="2"/>
      <c r="D31" s="2"/>
    </row>
    <row r="32" spans="1:4" x14ac:dyDescent="0.25">
      <c r="A32" s="1" t="s">
        <v>62</v>
      </c>
      <c r="B32" s="10"/>
      <c r="C32" s="1" t="s">
        <v>63</v>
      </c>
      <c r="D32" s="1" t="s">
        <v>64</v>
      </c>
    </row>
    <row r="33" spans="1:4" x14ac:dyDescent="0.25">
      <c r="A33" s="1" t="s">
        <v>65</v>
      </c>
      <c r="B33" s="10"/>
      <c r="C33" s="1" t="s">
        <v>63</v>
      </c>
      <c r="D33" s="1" t="s">
        <v>64</v>
      </c>
    </row>
    <row r="34" spans="1:4" x14ac:dyDescent="0.25">
      <c r="A34" s="1" t="s">
        <v>66</v>
      </c>
      <c r="B34" s="10"/>
      <c r="C34" s="1" t="s">
        <v>63</v>
      </c>
      <c r="D34" s="1" t="s">
        <v>64</v>
      </c>
    </row>
    <row r="35" spans="1:4" x14ac:dyDescent="0.25">
      <c r="A35" s="1" t="s">
        <v>67</v>
      </c>
      <c r="B35" s="10"/>
      <c r="C35" s="1" t="s">
        <v>63</v>
      </c>
      <c r="D35" s="1" t="s">
        <v>64</v>
      </c>
    </row>
    <row r="36" spans="1:4" x14ac:dyDescent="0.25">
      <c r="A36" s="1"/>
      <c r="B36" s="1"/>
      <c r="C36" s="1"/>
      <c r="D36" s="1"/>
    </row>
    <row r="37" spans="1:4" x14ac:dyDescent="0.25">
      <c r="A37" s="2" t="s">
        <v>68</v>
      </c>
      <c r="B37" s="2"/>
      <c r="C37" s="2"/>
      <c r="D37" s="2"/>
    </row>
    <row r="38" spans="1:4" ht="30" customHeight="1" x14ac:dyDescent="0.25">
      <c r="A38" s="1" t="s">
        <v>69</v>
      </c>
      <c r="B38" s="10">
        <v>1800</v>
      </c>
      <c r="C38" s="1" t="s">
        <v>63</v>
      </c>
      <c r="D38" s="1" t="s">
        <v>70</v>
      </c>
    </row>
    <row r="39" spans="1:4" x14ac:dyDescent="0.25">
      <c r="A39" s="1" t="s">
        <v>71</v>
      </c>
      <c r="B39" s="10">
        <v>1800</v>
      </c>
      <c r="C39" s="1" t="s">
        <v>72</v>
      </c>
      <c r="D39" s="1" t="s">
        <v>64</v>
      </c>
    </row>
    <row r="40" spans="1:4" x14ac:dyDescent="0.25">
      <c r="A40" s="1" t="s">
        <v>73</v>
      </c>
      <c r="B40" s="10">
        <v>7650</v>
      </c>
      <c r="C40" s="1" t="s">
        <v>72</v>
      </c>
      <c r="D40" s="1" t="s">
        <v>64</v>
      </c>
    </row>
    <row r="41" spans="1:4" x14ac:dyDescent="0.25">
      <c r="A41" s="1" t="s">
        <v>74</v>
      </c>
      <c r="B41" s="10">
        <v>0</v>
      </c>
      <c r="C41" s="1" t="s">
        <v>72</v>
      </c>
      <c r="D41" s="1" t="s">
        <v>64</v>
      </c>
    </row>
    <row r="42" spans="1:4" x14ac:dyDescent="0.25">
      <c r="A42" s="1" t="s">
        <v>75</v>
      </c>
      <c r="B42" s="10">
        <v>19900</v>
      </c>
      <c r="C42" s="1" t="s">
        <v>72</v>
      </c>
      <c r="D42" s="1" t="s">
        <v>64</v>
      </c>
    </row>
    <row r="43" spans="1:4" x14ac:dyDescent="0.25">
      <c r="A43" s="1" t="s">
        <v>76</v>
      </c>
      <c r="B43" s="10">
        <v>9700</v>
      </c>
      <c r="C43" s="1" t="s">
        <v>72</v>
      </c>
      <c r="D43" s="1" t="s">
        <v>64</v>
      </c>
    </row>
    <row r="44" spans="1:4" x14ac:dyDescent="0.25">
      <c r="A44" s="1" t="s">
        <v>77</v>
      </c>
      <c r="B44" s="10">
        <v>6050</v>
      </c>
      <c r="C44" s="1" t="s">
        <v>72</v>
      </c>
      <c r="D44" s="1" t="s">
        <v>64</v>
      </c>
    </row>
    <row r="45" spans="1:4" x14ac:dyDescent="0.25">
      <c r="A45" s="1" t="s">
        <v>78</v>
      </c>
      <c r="B45" s="10">
        <v>0</v>
      </c>
      <c r="C45" s="1" t="s">
        <v>63</v>
      </c>
      <c r="D45" s="1" t="s">
        <v>79</v>
      </c>
    </row>
    <row r="46" spans="1:4" x14ac:dyDescent="0.25">
      <c r="A46" s="1" t="s">
        <v>80</v>
      </c>
      <c r="B46" s="10">
        <v>8600</v>
      </c>
      <c r="C46" s="1" t="s">
        <v>72</v>
      </c>
      <c r="D46" s="1" t="s">
        <v>64</v>
      </c>
    </row>
    <row r="47" spans="1:4" x14ac:dyDescent="0.25">
      <c r="A47" s="1" t="s">
        <v>81</v>
      </c>
      <c r="B47" s="10">
        <v>520</v>
      </c>
      <c r="C47" s="1" t="s">
        <v>72</v>
      </c>
      <c r="D47" s="1" t="s">
        <v>64</v>
      </c>
    </row>
    <row r="48" spans="1:4" x14ac:dyDescent="0.25">
      <c r="A48" s="1" t="s">
        <v>82</v>
      </c>
      <c r="B48" s="10">
        <v>4140</v>
      </c>
      <c r="C48" s="1" t="s">
        <v>72</v>
      </c>
      <c r="D48" s="1" t="s">
        <v>64</v>
      </c>
    </row>
    <row r="49" spans="1:4" x14ac:dyDescent="0.25">
      <c r="A49" s="1" t="s">
        <v>83</v>
      </c>
      <c r="B49" s="10">
        <v>2470</v>
      </c>
      <c r="C49" s="1" t="s">
        <v>72</v>
      </c>
      <c r="D49" s="1" t="s">
        <v>64</v>
      </c>
    </row>
    <row r="50" spans="1:4" ht="30" customHeight="1" x14ac:dyDescent="0.25">
      <c r="A50" s="1" t="s">
        <v>84</v>
      </c>
      <c r="B50" s="10">
        <v>3420</v>
      </c>
      <c r="C50" s="1" t="s">
        <v>72</v>
      </c>
      <c r="D50" s="1" t="s">
        <v>64</v>
      </c>
    </row>
    <row r="51" spans="1:4" x14ac:dyDescent="0.25">
      <c r="A51" s="1" t="s">
        <v>85</v>
      </c>
      <c r="B51" s="10">
        <v>5330</v>
      </c>
      <c r="C51" s="1" t="s">
        <v>72</v>
      </c>
      <c r="D51" s="1" t="s">
        <v>64</v>
      </c>
    </row>
    <row r="52" spans="1:4" x14ac:dyDescent="0.25">
      <c r="A52" s="1" t="s">
        <v>86</v>
      </c>
      <c r="B52" s="10">
        <v>0</v>
      </c>
      <c r="C52" s="1" t="s">
        <v>72</v>
      </c>
      <c r="D52" s="1" t="s">
        <v>87</v>
      </c>
    </row>
    <row r="53" spans="1:4" x14ac:dyDescent="0.25">
      <c r="A53" s="1" t="s">
        <v>88</v>
      </c>
      <c r="B53" s="10">
        <v>960</v>
      </c>
      <c r="C53" s="1" t="s">
        <v>63</v>
      </c>
      <c r="D53" s="1" t="s">
        <v>64</v>
      </c>
    </row>
    <row r="54" spans="1:4" x14ac:dyDescent="0.25">
      <c r="A54" s="1" t="s">
        <v>89</v>
      </c>
      <c r="B54" s="10">
        <v>1270</v>
      </c>
      <c r="C54" s="1" t="s">
        <v>63</v>
      </c>
      <c r="D54" s="1" t="s">
        <v>64</v>
      </c>
    </row>
    <row r="55" spans="1:4" x14ac:dyDescent="0.25">
      <c r="A55" s="1" t="s">
        <v>90</v>
      </c>
      <c r="B55" s="10">
        <v>720</v>
      </c>
      <c r="C55" s="1" t="s">
        <v>63</v>
      </c>
      <c r="D55" s="1" t="s">
        <v>64</v>
      </c>
    </row>
    <row r="56" spans="1:4" x14ac:dyDescent="0.25">
      <c r="A56" s="1" t="s">
        <v>91</v>
      </c>
      <c r="B56" s="10">
        <v>640</v>
      </c>
      <c r="C56" s="1" t="s">
        <v>63</v>
      </c>
      <c r="D56" s="1" t="s">
        <v>64</v>
      </c>
    </row>
    <row r="57" spans="1:4" x14ac:dyDescent="0.25">
      <c r="A57" s="1" t="s">
        <v>92</v>
      </c>
      <c r="B57" s="10">
        <v>0</v>
      </c>
      <c r="C57" s="1" t="s">
        <v>63</v>
      </c>
      <c r="D57" s="1" t="s">
        <v>87</v>
      </c>
    </row>
    <row r="58" spans="1:4" x14ac:dyDescent="0.25">
      <c r="A58" s="1" t="s">
        <v>93</v>
      </c>
      <c r="B58" s="10">
        <v>2870</v>
      </c>
      <c r="C58" s="1" t="s">
        <v>72</v>
      </c>
      <c r="D58" s="1" t="s">
        <v>64</v>
      </c>
    </row>
    <row r="59" spans="1:4" x14ac:dyDescent="0.25">
      <c r="A59" s="1" t="s">
        <v>94</v>
      </c>
      <c r="B59" s="11">
        <v>2.5000000000000001E-2</v>
      </c>
      <c r="C59" s="1" t="s">
        <v>36</v>
      </c>
      <c r="D59" s="1" t="s">
        <v>95</v>
      </c>
    </row>
    <row r="60" spans="1:4" ht="30" customHeight="1" x14ac:dyDescent="0.25">
      <c r="A60" s="1" t="s">
        <v>96</v>
      </c>
      <c r="B60" s="11">
        <v>0.01</v>
      </c>
      <c r="C60" s="1" t="s">
        <v>36</v>
      </c>
      <c r="D60" s="1" t="s">
        <v>95</v>
      </c>
    </row>
    <row r="61" spans="1:4" x14ac:dyDescent="0.25">
      <c r="A61" s="1" t="s">
        <v>97</v>
      </c>
      <c r="B61" s="11">
        <v>0.05</v>
      </c>
      <c r="C61" s="1" t="s">
        <v>36</v>
      </c>
      <c r="D61" s="1" t="s">
        <v>98</v>
      </c>
    </row>
    <row r="62" spans="1:4" x14ac:dyDescent="0.25">
      <c r="A62" s="1"/>
      <c r="B62" s="1"/>
      <c r="C62" s="1"/>
      <c r="D62" s="1"/>
    </row>
    <row r="63" spans="1:4" x14ac:dyDescent="0.25">
      <c r="A63" s="2" t="s">
        <v>99</v>
      </c>
      <c r="B63" s="2"/>
      <c r="C63" s="2"/>
      <c r="D63" s="2"/>
    </row>
    <row r="64" spans="1:4" x14ac:dyDescent="0.25">
      <c r="A64" s="1" t="s">
        <v>100</v>
      </c>
      <c r="B64" s="11">
        <v>0.03</v>
      </c>
      <c r="C64" s="1" t="s">
        <v>36</v>
      </c>
      <c r="D64" s="1" t="s">
        <v>101</v>
      </c>
    </row>
    <row r="65" spans="1:4" x14ac:dyDescent="0.25">
      <c r="A65" s="1"/>
      <c r="B65" s="1"/>
      <c r="C65" s="1"/>
      <c r="D65" s="1"/>
    </row>
    <row r="66" spans="1:4" x14ac:dyDescent="0.25">
      <c r="A66" s="2" t="s">
        <v>102</v>
      </c>
      <c r="B66" s="2"/>
      <c r="C66" s="2"/>
      <c r="D66" s="2"/>
    </row>
    <row r="67" spans="1:4" x14ac:dyDescent="0.25">
      <c r="A67" s="1" t="s">
        <v>103</v>
      </c>
      <c r="B67" s="10">
        <v>0.42</v>
      </c>
      <c r="C67" s="1" t="s">
        <v>104</v>
      </c>
      <c r="D67" s="1" t="s">
        <v>105</v>
      </c>
    </row>
    <row r="68" spans="1:4" x14ac:dyDescent="0.25">
      <c r="A68" s="1" t="s">
        <v>106</v>
      </c>
      <c r="B68" s="10">
        <v>4.8000000000000001E-2</v>
      </c>
      <c r="C68" s="1" t="s">
        <v>107</v>
      </c>
      <c r="D68" s="1" t="s">
        <v>105</v>
      </c>
    </row>
  </sheetData>
  <mergeCells count="1">
    <mergeCell ref="A1:D1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1"/>
  <sheetViews>
    <sheetView showGridLines="0" tabSelected="1" workbookViewId="0">
      <selection activeCell="F15" sqref="F15"/>
    </sheetView>
  </sheetViews>
  <sheetFormatPr defaultRowHeight="15" x14ac:dyDescent="0.25"/>
  <cols>
    <col min="1" max="1" width="8" style="32" customWidth="1"/>
    <col min="2" max="2" width="10" style="32" customWidth="1"/>
    <col min="3" max="3" width="44" style="32" customWidth="1"/>
    <col min="4" max="4" width="16" style="32" customWidth="1"/>
    <col min="5" max="5" width="12" style="32" customWidth="1"/>
    <col min="6" max="6" width="14" style="32" customWidth="1"/>
    <col min="7" max="7" width="10" style="32" customWidth="1"/>
    <col min="8" max="8" width="16" style="32" customWidth="1"/>
    <col min="9" max="9" width="18" style="32" customWidth="1"/>
    <col min="10" max="10" width="14" style="32" customWidth="1"/>
    <col min="11" max="12" width="16" style="32" customWidth="1"/>
  </cols>
  <sheetData>
    <row r="1" spans="1:12" x14ac:dyDescent="0.25">
      <c r="A1" s="36" t="s">
        <v>108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</row>
    <row r="2" spans="1:12" x14ac:dyDescent="0.25">
      <c r="A2" s="1"/>
      <c r="B2" s="1"/>
      <c r="C2" s="1"/>
      <c r="D2" s="1"/>
      <c r="E2" s="1"/>
      <c r="F2" s="1"/>
      <c r="G2" s="1"/>
      <c r="H2" s="1"/>
      <c r="I2" s="1"/>
      <c r="J2" t="s">
        <v>109</v>
      </c>
      <c r="K2" t="s">
        <v>110</v>
      </c>
      <c r="L2" t="s">
        <v>111</v>
      </c>
    </row>
    <row r="3" spans="1:12" ht="30" x14ac:dyDescent="0.25">
      <c r="A3" s="2" t="s">
        <v>112</v>
      </c>
      <c r="B3" s="2" t="s">
        <v>113</v>
      </c>
      <c r="C3" s="2" t="s">
        <v>114</v>
      </c>
      <c r="D3" s="2" t="s">
        <v>115</v>
      </c>
      <c r="E3" s="2" t="s">
        <v>3</v>
      </c>
      <c r="F3" s="2" t="s">
        <v>116</v>
      </c>
      <c r="G3" s="2" t="s">
        <v>117</v>
      </c>
      <c r="H3" s="2" t="s">
        <v>118</v>
      </c>
      <c r="I3" s="2" t="s">
        <v>119</v>
      </c>
      <c r="J3" s="2" t="s">
        <v>120</v>
      </c>
      <c r="K3" s="2" t="s">
        <v>110</v>
      </c>
      <c r="L3" s="2" t="s">
        <v>111</v>
      </c>
    </row>
    <row r="4" spans="1:12" x14ac:dyDescent="0.25">
      <c r="A4" s="1" t="s">
        <v>121</v>
      </c>
      <c r="B4" s="1" t="s">
        <v>122</v>
      </c>
      <c r="C4" s="1" t="s">
        <v>123</v>
      </c>
      <c r="D4" s="13">
        <f>Вводные!$B11</f>
        <v>7860.32</v>
      </c>
      <c r="E4" s="1" t="s">
        <v>124</v>
      </c>
      <c r="F4" s="13"/>
      <c r="G4" s="4">
        <f>Вводные!$B17</f>
        <v>1</v>
      </c>
      <c r="H4" s="13">
        <f>D4*F4*G4</f>
        <v>0</v>
      </c>
      <c r="I4" s="1"/>
      <c r="J4" s="13"/>
      <c r="K4" s="13"/>
      <c r="L4" s="13"/>
    </row>
    <row r="5" spans="1:12" x14ac:dyDescent="0.25">
      <c r="A5" s="1" t="s">
        <v>121</v>
      </c>
      <c r="B5" s="1" t="s">
        <v>125</v>
      </c>
      <c r="C5" s="1" t="s">
        <v>126</v>
      </c>
      <c r="D5" s="13">
        <f>Вводные!$B11</f>
        <v>7860.32</v>
      </c>
      <c r="E5" s="1" t="s">
        <v>124</v>
      </c>
      <c r="F5" s="13"/>
      <c r="G5" s="4">
        <f>Вводные!$B17</f>
        <v>1</v>
      </c>
      <c r="H5" s="13">
        <f>D5*F5*G5</f>
        <v>0</v>
      </c>
      <c r="I5" s="1"/>
      <c r="J5" s="13"/>
      <c r="K5" s="13"/>
      <c r="L5" s="13"/>
    </row>
    <row r="6" spans="1:12" x14ac:dyDescent="0.25">
      <c r="A6" s="1" t="s">
        <v>121</v>
      </c>
      <c r="B6" s="1" t="s">
        <v>127</v>
      </c>
      <c r="C6" s="1" t="s">
        <v>128</v>
      </c>
      <c r="D6" s="13">
        <f>Вводные!$B11</f>
        <v>7860.32</v>
      </c>
      <c r="E6" s="1" t="s">
        <v>124</v>
      </c>
      <c r="F6" s="13"/>
      <c r="G6" s="4">
        <f>Вводные!$B17</f>
        <v>1</v>
      </c>
      <c r="H6" s="13">
        <f>D6*F6*G6</f>
        <v>0</v>
      </c>
      <c r="I6" s="1"/>
      <c r="J6" s="13"/>
      <c r="K6" s="13"/>
      <c r="L6" s="13"/>
    </row>
    <row r="7" spans="1:12" x14ac:dyDescent="0.25">
      <c r="A7" s="1" t="s">
        <v>121</v>
      </c>
      <c r="B7" s="1" t="s">
        <v>129</v>
      </c>
      <c r="C7" s="1" t="s">
        <v>130</v>
      </c>
      <c r="D7" s="13">
        <f>Вводные!$B11</f>
        <v>7860.32</v>
      </c>
      <c r="E7" s="1" t="s">
        <v>124</v>
      </c>
      <c r="F7" s="13"/>
      <c r="G7" s="4">
        <f>Вводные!$B17</f>
        <v>1</v>
      </c>
      <c r="H7" s="13">
        <f>D7*F7*G7</f>
        <v>0</v>
      </c>
      <c r="I7" s="1"/>
      <c r="J7" s="13"/>
      <c r="K7" s="13"/>
      <c r="L7" s="13"/>
    </row>
    <row r="8" spans="1:12" x14ac:dyDescent="0.25">
      <c r="A8" s="5"/>
      <c r="B8" s="5"/>
      <c r="C8" s="5" t="s">
        <v>131</v>
      </c>
      <c r="D8" s="14"/>
      <c r="E8" s="5"/>
      <c r="F8" s="14"/>
      <c r="G8" s="6"/>
      <c r="H8" s="15">
        <f>SUM(H4:H7)</f>
        <v>0</v>
      </c>
      <c r="I8" s="1"/>
      <c r="J8" s="13"/>
      <c r="K8" s="15"/>
      <c r="L8" s="15"/>
    </row>
    <row r="9" spans="1:12" x14ac:dyDescent="0.25">
      <c r="A9" s="1" t="s">
        <v>132</v>
      </c>
      <c r="B9" s="1" t="s">
        <v>133</v>
      </c>
      <c r="C9" s="1" t="s">
        <v>134</v>
      </c>
      <c r="D9" s="13">
        <f>Вводные!$B11</f>
        <v>7860.32</v>
      </c>
      <c r="E9" s="1" t="s">
        <v>124</v>
      </c>
      <c r="F9" s="13">
        <f>Вводные!$B38</f>
        <v>1800</v>
      </c>
      <c r="G9" s="4">
        <f>Вводные!$B17</f>
        <v>1</v>
      </c>
      <c r="H9" s="13">
        <f t="shared" ref="H9:H29" si="0">D9*F9*G9</f>
        <v>14148576</v>
      </c>
      <c r="I9" s="1"/>
      <c r="J9" s="33">
        <v>0.35</v>
      </c>
      <c r="K9" s="34">
        <f t="shared" ref="K9:K29" si="1">H9*J9</f>
        <v>4952001.5999999996</v>
      </c>
      <c r="L9" s="34">
        <f t="shared" ref="L9:L29" si="2">H9-K9</f>
        <v>9196574.4000000004</v>
      </c>
    </row>
    <row r="10" spans="1:12" x14ac:dyDescent="0.25">
      <c r="A10" s="1" t="s">
        <v>132</v>
      </c>
      <c r="B10" s="1" t="s">
        <v>135</v>
      </c>
      <c r="C10" s="1" t="s">
        <v>136</v>
      </c>
      <c r="D10" s="13">
        <f>Вводные!$B10</f>
        <v>10795.3</v>
      </c>
      <c r="E10" s="1" t="s">
        <v>137</v>
      </c>
      <c r="F10" s="13">
        <f>Вводные!$B39</f>
        <v>1800</v>
      </c>
      <c r="G10" s="4">
        <f>Вводные!$B17</f>
        <v>1</v>
      </c>
      <c r="H10" s="13">
        <f t="shared" si="0"/>
        <v>19431540</v>
      </c>
      <c r="I10" s="1"/>
      <c r="J10" s="33">
        <v>0.3</v>
      </c>
      <c r="K10" s="34">
        <f t="shared" si="1"/>
        <v>5829462</v>
      </c>
      <c r="L10" s="34">
        <f t="shared" si="2"/>
        <v>13602078</v>
      </c>
    </row>
    <row r="11" spans="1:12" ht="30" customHeight="1" x14ac:dyDescent="0.25">
      <c r="A11" s="1" t="s">
        <v>132</v>
      </c>
      <c r="B11" s="1" t="s">
        <v>138</v>
      </c>
      <c r="C11" s="1" t="s">
        <v>139</v>
      </c>
      <c r="D11" s="13">
        <f>Вводные!$B10</f>
        <v>10795.3</v>
      </c>
      <c r="E11" s="1" t="s">
        <v>137</v>
      </c>
      <c r="F11" s="13">
        <f>Вводные!$B40</f>
        <v>7650</v>
      </c>
      <c r="G11" s="4">
        <f>Вводные!$B17</f>
        <v>1</v>
      </c>
      <c r="H11" s="13">
        <f t="shared" si="0"/>
        <v>82584045</v>
      </c>
      <c r="I11" s="1"/>
      <c r="J11" s="33">
        <v>0.6</v>
      </c>
      <c r="K11" s="34">
        <f t="shared" si="1"/>
        <v>49550427</v>
      </c>
      <c r="L11" s="34">
        <f t="shared" si="2"/>
        <v>33033618</v>
      </c>
    </row>
    <row r="12" spans="1:12" ht="30" customHeight="1" x14ac:dyDescent="0.25">
      <c r="A12" s="1" t="s">
        <v>132</v>
      </c>
      <c r="B12" s="1" t="s">
        <v>140</v>
      </c>
      <c r="C12" s="1" t="s">
        <v>141</v>
      </c>
      <c r="D12" s="13">
        <f>Вводные!$B10</f>
        <v>10795.3</v>
      </c>
      <c r="E12" s="1" t="s">
        <v>137</v>
      </c>
      <c r="F12" s="13">
        <f>Вводные!$B41</f>
        <v>0</v>
      </c>
      <c r="G12" s="4">
        <f>Вводные!$B17</f>
        <v>1</v>
      </c>
      <c r="H12" s="13">
        <f t="shared" si="0"/>
        <v>0</v>
      </c>
      <c r="I12" s="1"/>
      <c r="J12" s="33">
        <v>0.6</v>
      </c>
      <c r="K12" s="34">
        <f t="shared" si="1"/>
        <v>0</v>
      </c>
      <c r="L12" s="34">
        <f t="shared" si="2"/>
        <v>0</v>
      </c>
    </row>
    <row r="13" spans="1:12" ht="30" customHeight="1" x14ac:dyDescent="0.25">
      <c r="A13" s="1" t="s">
        <v>132</v>
      </c>
      <c r="B13" s="1" t="s">
        <v>142</v>
      </c>
      <c r="C13" s="1" t="s">
        <v>143</v>
      </c>
      <c r="D13" s="13">
        <f>Вводные!$B10</f>
        <v>10795.3</v>
      </c>
      <c r="E13" s="1" t="s">
        <v>137</v>
      </c>
      <c r="F13" s="13">
        <f>Вводные!$B42</f>
        <v>19900</v>
      </c>
      <c r="G13" s="4">
        <f>Вводные!$B17</f>
        <v>1</v>
      </c>
      <c r="H13" s="13">
        <f t="shared" si="0"/>
        <v>214826470</v>
      </c>
      <c r="I13" s="1"/>
      <c r="J13" s="33">
        <v>0.65</v>
      </c>
      <c r="K13" s="34">
        <f t="shared" si="1"/>
        <v>139637205.5</v>
      </c>
      <c r="L13" s="34">
        <f t="shared" si="2"/>
        <v>75189264.5</v>
      </c>
    </row>
    <row r="14" spans="1:12" ht="30" customHeight="1" x14ac:dyDescent="0.25">
      <c r="A14" s="1" t="s">
        <v>132</v>
      </c>
      <c r="B14" s="1" t="s">
        <v>144</v>
      </c>
      <c r="C14" s="1" t="s">
        <v>145</v>
      </c>
      <c r="D14" s="13">
        <f>Вводные!$B10</f>
        <v>10795.3</v>
      </c>
      <c r="E14" s="1" t="s">
        <v>137</v>
      </c>
      <c r="F14" s="13">
        <f>Вводные!$B43</f>
        <v>9700</v>
      </c>
      <c r="G14" s="4">
        <f>Вводные!$B17</f>
        <v>1</v>
      </c>
      <c r="H14" s="13">
        <f t="shared" si="0"/>
        <v>104714410</v>
      </c>
      <c r="I14" s="1"/>
      <c r="J14" s="33">
        <v>0.7</v>
      </c>
      <c r="K14" s="34">
        <f t="shared" si="1"/>
        <v>73300087</v>
      </c>
      <c r="L14" s="34">
        <f t="shared" si="2"/>
        <v>31414323</v>
      </c>
    </row>
    <row r="15" spans="1:12" x14ac:dyDescent="0.25">
      <c r="A15" s="1" t="s">
        <v>132</v>
      </c>
      <c r="B15" s="1" t="s">
        <v>146</v>
      </c>
      <c r="C15" s="1" t="s">
        <v>147</v>
      </c>
      <c r="D15" s="13">
        <f>Вводные!$B10</f>
        <v>10795.3</v>
      </c>
      <c r="E15" s="1" t="s">
        <v>137</v>
      </c>
      <c r="F15" s="13">
        <f>Вводные!$B44</f>
        <v>6050</v>
      </c>
      <c r="G15" s="4">
        <f>Вводные!$B17</f>
        <v>1</v>
      </c>
      <c r="H15" s="13">
        <f t="shared" si="0"/>
        <v>65311564.999999993</v>
      </c>
      <c r="I15" s="1"/>
      <c r="J15" s="33">
        <v>0.6</v>
      </c>
      <c r="K15" s="34">
        <f t="shared" si="1"/>
        <v>39186938.999999993</v>
      </c>
      <c r="L15" s="34">
        <f t="shared" si="2"/>
        <v>26124626</v>
      </c>
    </row>
    <row r="16" spans="1:12" x14ac:dyDescent="0.25">
      <c r="A16" s="1" t="s">
        <v>132</v>
      </c>
      <c r="B16" s="1" t="s">
        <v>148</v>
      </c>
      <c r="C16" s="1" t="s">
        <v>149</v>
      </c>
      <c r="D16" s="13">
        <f>Вводные!$B11</f>
        <v>7860.32</v>
      </c>
      <c r="E16" s="1" t="s">
        <v>124</v>
      </c>
      <c r="F16" s="13">
        <f>Вводные!$B45</f>
        <v>0</v>
      </c>
      <c r="G16" s="4">
        <f>Вводные!$B17</f>
        <v>1</v>
      </c>
      <c r="H16" s="13">
        <f t="shared" si="0"/>
        <v>0</v>
      </c>
      <c r="I16" s="1"/>
      <c r="J16" s="33">
        <v>0.65</v>
      </c>
      <c r="K16" s="34">
        <f t="shared" si="1"/>
        <v>0</v>
      </c>
      <c r="L16" s="34">
        <f t="shared" si="2"/>
        <v>0</v>
      </c>
    </row>
    <row r="17" spans="1:12" x14ac:dyDescent="0.25">
      <c r="A17" s="1" t="s">
        <v>132</v>
      </c>
      <c r="B17" s="1" t="s">
        <v>150</v>
      </c>
      <c r="C17" s="1" t="s">
        <v>151</v>
      </c>
      <c r="D17" s="13">
        <f>Вводные!$B10</f>
        <v>10795.3</v>
      </c>
      <c r="E17" s="1" t="s">
        <v>137</v>
      </c>
      <c r="F17" s="13">
        <f>Вводные!$B46</f>
        <v>8600</v>
      </c>
      <c r="G17" s="4">
        <f>Вводные!$B17</f>
        <v>1</v>
      </c>
      <c r="H17" s="13">
        <f t="shared" si="0"/>
        <v>92839580</v>
      </c>
      <c r="I17" s="1"/>
      <c r="J17" s="33">
        <v>0.75</v>
      </c>
      <c r="K17" s="34">
        <f t="shared" si="1"/>
        <v>69629685</v>
      </c>
      <c r="L17" s="34">
        <f t="shared" si="2"/>
        <v>23209895</v>
      </c>
    </row>
    <row r="18" spans="1:12" x14ac:dyDescent="0.25">
      <c r="A18" s="1" t="s">
        <v>132</v>
      </c>
      <c r="B18" s="1" t="s">
        <v>152</v>
      </c>
      <c r="C18" s="1" t="s">
        <v>153</v>
      </c>
      <c r="D18" s="13">
        <f>Вводные!$B10</f>
        <v>10795.3</v>
      </c>
      <c r="E18" s="1" t="s">
        <v>137</v>
      </c>
      <c r="F18" s="13">
        <f>Вводные!$B47</f>
        <v>520</v>
      </c>
      <c r="G18" s="4">
        <f>Вводные!$B17</f>
        <v>1</v>
      </c>
      <c r="H18" s="13">
        <f t="shared" si="0"/>
        <v>5613556</v>
      </c>
      <c r="I18" s="1"/>
      <c r="J18" s="33">
        <v>0.8</v>
      </c>
      <c r="K18" s="34">
        <f t="shared" si="1"/>
        <v>4490844.8</v>
      </c>
      <c r="L18" s="34">
        <f t="shared" si="2"/>
        <v>1122711.2000000002</v>
      </c>
    </row>
    <row r="19" spans="1:12" x14ac:dyDescent="0.25">
      <c r="A19" s="1" t="s">
        <v>132</v>
      </c>
      <c r="B19" s="1" t="s">
        <v>154</v>
      </c>
      <c r="C19" s="1" t="s">
        <v>155</v>
      </c>
      <c r="D19" s="13">
        <f>Вводные!$B10</f>
        <v>10795.3</v>
      </c>
      <c r="E19" s="1" t="s">
        <v>137</v>
      </c>
      <c r="F19" s="13">
        <f>Вводные!$B48</f>
        <v>4140</v>
      </c>
      <c r="G19" s="4">
        <f>Вводные!$B17</f>
        <v>1</v>
      </c>
      <c r="H19" s="13">
        <f t="shared" si="0"/>
        <v>44692542</v>
      </c>
      <c r="I19" s="1"/>
      <c r="J19" s="33">
        <v>0.65</v>
      </c>
      <c r="K19" s="34">
        <f t="shared" si="1"/>
        <v>29050152.300000001</v>
      </c>
      <c r="L19" s="34">
        <f t="shared" si="2"/>
        <v>15642389.699999999</v>
      </c>
    </row>
    <row r="20" spans="1:12" x14ac:dyDescent="0.25">
      <c r="A20" s="1" t="s">
        <v>132</v>
      </c>
      <c r="B20" s="1" t="s">
        <v>156</v>
      </c>
      <c r="C20" s="1" t="s">
        <v>157</v>
      </c>
      <c r="D20" s="13">
        <f>Вводные!$B10</f>
        <v>10795.3</v>
      </c>
      <c r="E20" s="1" t="s">
        <v>137</v>
      </c>
      <c r="F20" s="13">
        <f>Вводные!$B49</f>
        <v>2470</v>
      </c>
      <c r="G20" s="4">
        <f>Вводные!$B17</f>
        <v>1</v>
      </c>
      <c r="H20" s="13">
        <f t="shared" si="0"/>
        <v>26664391</v>
      </c>
      <c r="I20" s="1"/>
      <c r="J20" s="33">
        <v>0.6</v>
      </c>
      <c r="K20" s="34">
        <f t="shared" si="1"/>
        <v>15998634.6</v>
      </c>
      <c r="L20" s="34">
        <f t="shared" si="2"/>
        <v>10665756.4</v>
      </c>
    </row>
    <row r="21" spans="1:12" ht="30" customHeight="1" x14ac:dyDescent="0.25">
      <c r="A21" s="1" t="s">
        <v>132</v>
      </c>
      <c r="B21" s="1" t="s">
        <v>158</v>
      </c>
      <c r="C21" s="1" t="s">
        <v>159</v>
      </c>
      <c r="D21" s="13">
        <f>Вводные!$B10</f>
        <v>10795.3</v>
      </c>
      <c r="E21" s="1" t="s">
        <v>137</v>
      </c>
      <c r="F21" s="13">
        <f>Вводные!$B50</f>
        <v>3420</v>
      </c>
      <c r="G21" s="4">
        <f>Вводные!$B17</f>
        <v>1</v>
      </c>
      <c r="H21" s="13">
        <f t="shared" si="0"/>
        <v>36919926</v>
      </c>
      <c r="I21" s="1"/>
      <c r="J21" s="33">
        <v>0.7</v>
      </c>
      <c r="K21" s="34">
        <f t="shared" si="1"/>
        <v>25843948.199999999</v>
      </c>
      <c r="L21" s="34">
        <f t="shared" si="2"/>
        <v>11075977.800000001</v>
      </c>
    </row>
    <row r="22" spans="1:12" ht="30" customHeight="1" x14ac:dyDescent="0.25">
      <c r="A22" s="1" t="s">
        <v>132</v>
      </c>
      <c r="B22" s="1" t="s">
        <v>160</v>
      </c>
      <c r="C22" s="1" t="s">
        <v>161</v>
      </c>
      <c r="D22" s="13">
        <f>Вводные!$B10</f>
        <v>10795.3</v>
      </c>
      <c r="E22" s="1" t="s">
        <v>137</v>
      </c>
      <c r="F22" s="13">
        <f>Вводные!$B51</f>
        <v>5330</v>
      </c>
      <c r="G22" s="4">
        <f>Вводные!$B17</f>
        <v>1</v>
      </c>
      <c r="H22" s="13">
        <f t="shared" si="0"/>
        <v>57538948.999999993</v>
      </c>
      <c r="I22" s="1"/>
      <c r="J22" s="33">
        <v>0.65</v>
      </c>
      <c r="K22" s="34">
        <f t="shared" si="1"/>
        <v>37400316.849999994</v>
      </c>
      <c r="L22" s="34">
        <f t="shared" si="2"/>
        <v>20138632.149999999</v>
      </c>
    </row>
    <row r="23" spans="1:12" x14ac:dyDescent="0.25">
      <c r="A23" s="1" t="s">
        <v>132</v>
      </c>
      <c r="B23" s="1" t="s">
        <v>162</v>
      </c>
      <c r="C23" s="1" t="s">
        <v>163</v>
      </c>
      <c r="D23" s="13">
        <f>Вводные!$B10</f>
        <v>10795.3</v>
      </c>
      <c r="E23" s="1" t="s">
        <v>137</v>
      </c>
      <c r="F23" s="13">
        <f>Вводные!$B52</f>
        <v>0</v>
      </c>
      <c r="G23" s="4">
        <f>Вводные!$B17</f>
        <v>1</v>
      </c>
      <c r="H23" s="13">
        <f t="shared" si="0"/>
        <v>0</v>
      </c>
      <c r="I23" s="1"/>
      <c r="J23" s="33">
        <v>0.7</v>
      </c>
      <c r="K23" s="34">
        <f t="shared" si="1"/>
        <v>0</v>
      </c>
      <c r="L23" s="34">
        <f t="shared" si="2"/>
        <v>0</v>
      </c>
    </row>
    <row r="24" spans="1:12" x14ac:dyDescent="0.25">
      <c r="A24" s="1" t="s">
        <v>132</v>
      </c>
      <c r="B24" s="1" t="s">
        <v>164</v>
      </c>
      <c r="C24" s="1" t="s">
        <v>165</v>
      </c>
      <c r="D24" s="13">
        <f>Вводные!$B11</f>
        <v>7860.32</v>
      </c>
      <c r="E24" s="1" t="s">
        <v>124</v>
      </c>
      <c r="F24" s="13">
        <f>Вводные!$B53</f>
        <v>960</v>
      </c>
      <c r="G24" s="4">
        <f>Вводные!$B17</f>
        <v>1</v>
      </c>
      <c r="H24" s="13">
        <f t="shared" si="0"/>
        <v>7545907.1999999993</v>
      </c>
      <c r="I24" s="1"/>
      <c r="J24" s="33">
        <v>0.6</v>
      </c>
      <c r="K24" s="34">
        <f t="shared" si="1"/>
        <v>4527544.3199999994</v>
      </c>
      <c r="L24" s="34">
        <f t="shared" si="2"/>
        <v>3018362.8799999999</v>
      </c>
    </row>
    <row r="25" spans="1:12" x14ac:dyDescent="0.25">
      <c r="A25" s="1" t="s">
        <v>132</v>
      </c>
      <c r="B25" s="1" t="s">
        <v>166</v>
      </c>
      <c r="C25" s="1" t="s">
        <v>167</v>
      </c>
      <c r="D25" s="13">
        <f>Вводные!$B11</f>
        <v>7860.32</v>
      </c>
      <c r="E25" s="1" t="s">
        <v>124</v>
      </c>
      <c r="F25" s="13">
        <f>Вводные!$B54</f>
        <v>1270</v>
      </c>
      <c r="G25" s="4">
        <f>Вводные!$B17</f>
        <v>1</v>
      </c>
      <c r="H25" s="13">
        <f t="shared" si="0"/>
        <v>9982606.4000000004</v>
      </c>
      <c r="I25" s="1"/>
      <c r="J25" s="33">
        <v>0.7</v>
      </c>
      <c r="K25" s="34">
        <f t="shared" si="1"/>
        <v>6987824.4799999995</v>
      </c>
      <c r="L25" s="34">
        <f t="shared" si="2"/>
        <v>2994781.9200000009</v>
      </c>
    </row>
    <row r="26" spans="1:12" x14ac:dyDescent="0.25">
      <c r="A26" s="1" t="s">
        <v>132</v>
      </c>
      <c r="B26" s="1" t="s">
        <v>168</v>
      </c>
      <c r="C26" s="1" t="s">
        <v>169</v>
      </c>
      <c r="D26" s="13">
        <f>Вводные!$B11</f>
        <v>7860.32</v>
      </c>
      <c r="E26" s="1" t="s">
        <v>124</v>
      </c>
      <c r="F26" s="13">
        <f>Вводные!$B55</f>
        <v>720</v>
      </c>
      <c r="G26" s="4">
        <f>Вводные!$B17</f>
        <v>1</v>
      </c>
      <c r="H26" s="13">
        <f t="shared" si="0"/>
        <v>5659430.3999999994</v>
      </c>
      <c r="I26" s="1"/>
      <c r="J26" s="33">
        <v>0.65</v>
      </c>
      <c r="K26" s="34">
        <f t="shared" si="1"/>
        <v>3678629.76</v>
      </c>
      <c r="L26" s="34">
        <f t="shared" si="2"/>
        <v>1980800.6399999997</v>
      </c>
    </row>
    <row r="27" spans="1:12" x14ac:dyDescent="0.25">
      <c r="A27" s="1" t="s">
        <v>132</v>
      </c>
      <c r="B27" s="1" t="s">
        <v>170</v>
      </c>
      <c r="C27" s="1" t="s">
        <v>171</v>
      </c>
      <c r="D27" s="13">
        <f>Вводные!$B11</f>
        <v>7860.32</v>
      </c>
      <c r="E27" s="1" t="s">
        <v>124</v>
      </c>
      <c r="F27" s="13">
        <f>Вводные!$B56</f>
        <v>640</v>
      </c>
      <c r="G27" s="4">
        <f>Вводные!$B17</f>
        <v>1</v>
      </c>
      <c r="H27" s="13">
        <f t="shared" si="0"/>
        <v>5030604.7999999998</v>
      </c>
      <c r="I27" s="1"/>
      <c r="J27" s="33">
        <v>0.6</v>
      </c>
      <c r="K27" s="34">
        <f t="shared" si="1"/>
        <v>3018362.8799999999</v>
      </c>
      <c r="L27" s="34">
        <f t="shared" si="2"/>
        <v>2012241.9199999999</v>
      </c>
    </row>
    <row r="28" spans="1:12" x14ac:dyDescent="0.25">
      <c r="A28" s="1" t="s">
        <v>132</v>
      </c>
      <c r="B28" s="1" t="s">
        <v>172</v>
      </c>
      <c r="C28" s="1" t="s">
        <v>173</v>
      </c>
      <c r="D28" s="13">
        <f>Вводные!$B11</f>
        <v>7860.32</v>
      </c>
      <c r="E28" s="1" t="s">
        <v>124</v>
      </c>
      <c r="F28" s="13">
        <f>Вводные!$B57</f>
        <v>0</v>
      </c>
      <c r="G28" s="4">
        <f>Вводные!$B17</f>
        <v>1</v>
      </c>
      <c r="H28" s="13">
        <f t="shared" si="0"/>
        <v>0</v>
      </c>
      <c r="I28" s="1"/>
      <c r="J28" s="33">
        <v>0.7</v>
      </c>
      <c r="K28" s="34">
        <f t="shared" si="1"/>
        <v>0</v>
      </c>
      <c r="L28" s="34">
        <f t="shared" si="2"/>
        <v>0</v>
      </c>
    </row>
    <row r="29" spans="1:12" x14ac:dyDescent="0.25">
      <c r="A29" s="1" t="s">
        <v>132</v>
      </c>
      <c r="B29" s="1" t="s">
        <v>174</v>
      </c>
      <c r="C29" s="1" t="s">
        <v>175</v>
      </c>
      <c r="D29" s="13">
        <f>Вводные!$B10</f>
        <v>10795.3</v>
      </c>
      <c r="E29" s="1" t="s">
        <v>137</v>
      </c>
      <c r="F29" s="13">
        <f>Вводные!$B58</f>
        <v>2870</v>
      </c>
      <c r="G29" s="4">
        <f>Вводные!$B17</f>
        <v>1</v>
      </c>
      <c r="H29" s="13">
        <f t="shared" si="0"/>
        <v>30982510.999999996</v>
      </c>
      <c r="I29" s="1"/>
      <c r="J29" s="33">
        <v>0.5</v>
      </c>
      <c r="K29" s="34">
        <f t="shared" si="1"/>
        <v>15491255.499999998</v>
      </c>
      <c r="L29" s="34">
        <f t="shared" si="2"/>
        <v>15491255.499999998</v>
      </c>
    </row>
    <row r="30" spans="1:12" x14ac:dyDescent="0.25">
      <c r="A30" s="1" t="s">
        <v>132</v>
      </c>
      <c r="B30" s="1" t="s">
        <v>176</v>
      </c>
      <c r="C30" s="1" t="s">
        <v>177</v>
      </c>
      <c r="D30" s="13">
        <f>SUM(H9:H29)</f>
        <v>824486609.79999995</v>
      </c>
      <c r="E30" s="1" t="s">
        <v>46</v>
      </c>
      <c r="F30" s="16">
        <f>Вводные!$B59</f>
        <v>2.5000000000000001E-2</v>
      </c>
      <c r="G30" s="4">
        <f>1</f>
        <v>1</v>
      </c>
      <c r="H30" s="13">
        <f>D30*F30</f>
        <v>20612165.245000001</v>
      </c>
      <c r="I30" s="1"/>
      <c r="J30" s="13"/>
      <c r="K30" s="13"/>
      <c r="L30" s="13"/>
    </row>
    <row r="31" spans="1:12" ht="30" customHeight="1" x14ac:dyDescent="0.25">
      <c r="A31" s="1" t="s">
        <v>132</v>
      </c>
      <c r="B31" s="1" t="s">
        <v>178</v>
      </c>
      <c r="C31" s="1" t="s">
        <v>179</v>
      </c>
      <c r="D31" s="13">
        <f>SUM(H9:H30)</f>
        <v>845098775.04499996</v>
      </c>
      <c r="E31" s="1" t="s">
        <v>46</v>
      </c>
      <c r="F31" s="16">
        <v>1.2E-2</v>
      </c>
      <c r="G31" s="4">
        <f>1</f>
        <v>1</v>
      </c>
      <c r="H31" s="13">
        <f>D31*F31</f>
        <v>10141185.30054</v>
      </c>
      <c r="I31" s="1"/>
      <c r="J31" s="13"/>
      <c r="K31" s="13"/>
      <c r="L31" s="13"/>
    </row>
    <row r="32" spans="1:12" x14ac:dyDescent="0.25">
      <c r="A32" s="1" t="s">
        <v>132</v>
      </c>
      <c r="B32" s="1" t="s">
        <v>180</v>
      </c>
      <c r="C32" s="1" t="s">
        <v>181</v>
      </c>
      <c r="D32" s="13">
        <f>SUM(H9:H31)</f>
        <v>855239960.34553993</v>
      </c>
      <c r="E32" s="1" t="s">
        <v>46</v>
      </c>
      <c r="F32" s="16">
        <f>Вводные!$B61</f>
        <v>0.05</v>
      </c>
      <c r="G32" s="4">
        <f>1</f>
        <v>1</v>
      </c>
      <c r="H32" s="13">
        <f>D32*F32</f>
        <v>42761998.017277002</v>
      </c>
      <c r="I32" s="1"/>
      <c r="J32" s="13"/>
      <c r="K32" s="13"/>
      <c r="L32" s="13"/>
    </row>
    <row r="33" spans="1:12" x14ac:dyDescent="0.25">
      <c r="A33" s="1" t="s">
        <v>132</v>
      </c>
      <c r="B33" s="1" t="s">
        <v>182</v>
      </c>
      <c r="C33" s="1" t="s">
        <v>183</v>
      </c>
      <c r="D33" s="13">
        <f>SUM(H9:H32)</f>
        <v>898001958.36281693</v>
      </c>
      <c r="E33" s="1" t="s">
        <v>46</v>
      </c>
      <c r="F33" s="13">
        <f>Вводные!$B16*(Вводные!$B8/12)</f>
        <v>0.11399999999999999</v>
      </c>
      <c r="G33" s="4">
        <f>1</f>
        <v>1</v>
      </c>
      <c r="H33" s="13">
        <f>D33*F33</f>
        <v>102372223.25336112</v>
      </c>
      <c r="I33" s="1"/>
      <c r="J33" s="13"/>
      <c r="K33" s="13"/>
      <c r="L33" s="13"/>
    </row>
    <row r="34" spans="1:12" x14ac:dyDescent="0.25">
      <c r="A34" s="5"/>
      <c r="B34" s="5"/>
      <c r="C34" s="5" t="s">
        <v>184</v>
      </c>
      <c r="D34" s="14"/>
      <c r="E34" s="5"/>
      <c r="F34" s="14"/>
      <c r="G34" s="6"/>
      <c r="H34" s="15">
        <f>SUM(H9:H33)</f>
        <v>1000374181.616178</v>
      </c>
      <c r="I34" s="1"/>
      <c r="J34" s="13"/>
      <c r="K34" s="15"/>
      <c r="L34" s="15"/>
    </row>
    <row r="35" spans="1:12" x14ac:dyDescent="0.25">
      <c r="A35" s="1" t="s">
        <v>185</v>
      </c>
      <c r="B35" s="1" t="s">
        <v>186</v>
      </c>
      <c r="C35" s="1" t="s">
        <v>187</v>
      </c>
      <c r="D35" s="13">
        <f>Продажи!N41</f>
        <v>1474187090.4718649</v>
      </c>
      <c r="E35" s="1" t="s">
        <v>46</v>
      </c>
      <c r="F35" s="16">
        <f>Вводные!$B64</f>
        <v>0.03</v>
      </c>
      <c r="G35" s="4">
        <f>1</f>
        <v>1</v>
      </c>
      <c r="H35" s="13">
        <f>D35*F35</f>
        <v>44225612.71415595</v>
      </c>
      <c r="I35" s="1"/>
      <c r="J35" s="13"/>
      <c r="K35" s="13"/>
      <c r="L35" s="13"/>
    </row>
    <row r="36" spans="1:12" x14ac:dyDescent="0.25">
      <c r="A36" s="5"/>
      <c r="B36" s="5"/>
      <c r="C36" s="5" t="s">
        <v>188</v>
      </c>
      <c r="D36" s="14"/>
      <c r="E36" s="5"/>
      <c r="F36" s="14"/>
      <c r="G36" s="6"/>
      <c r="H36" s="15">
        <f>H35</f>
        <v>44225612.71415595</v>
      </c>
      <c r="I36" s="1"/>
      <c r="J36" s="13"/>
      <c r="K36" s="15"/>
      <c r="L36" s="15"/>
    </row>
    <row r="37" spans="1:12" x14ac:dyDescent="0.25">
      <c r="A37" s="5"/>
      <c r="B37" s="5"/>
      <c r="C37" s="5" t="s">
        <v>189</v>
      </c>
      <c r="D37" s="14"/>
      <c r="E37" s="5"/>
      <c r="F37" s="14"/>
      <c r="G37" s="6"/>
      <c r="H37" s="17">
        <f>H8+H34+H36</f>
        <v>1044599794.3303339</v>
      </c>
      <c r="I37" s="1"/>
      <c r="J37" s="13"/>
      <c r="K37" s="17"/>
      <c r="L37" s="17"/>
    </row>
    <row r="39" spans="1:12" x14ac:dyDescent="0.25">
      <c r="C39" s="5" t="s">
        <v>190</v>
      </c>
      <c r="H39" s="35">
        <f>SUM(H9:H29)</f>
        <v>824486609.79999995</v>
      </c>
      <c r="K39" s="35">
        <f>SUM(K9:K29)</f>
        <v>528573320.79000002</v>
      </c>
      <c r="L39" s="35">
        <f>SUM(L9:L29)</f>
        <v>295913289.00999999</v>
      </c>
    </row>
    <row r="40" spans="1:12" x14ac:dyDescent="0.25">
      <c r="C40" s="5" t="s">
        <v>191</v>
      </c>
      <c r="K40" s="35">
        <f>SUM(K9:K29)</f>
        <v>528573320.79000002</v>
      </c>
    </row>
    <row r="41" spans="1:12" x14ac:dyDescent="0.25">
      <c r="C41" s="5" t="s">
        <v>192</v>
      </c>
      <c r="L41" s="35">
        <f>SUM(L9:L29)</f>
        <v>295913289.00999999</v>
      </c>
    </row>
  </sheetData>
  <mergeCells count="1">
    <mergeCell ref="A1:L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O16"/>
  <sheetViews>
    <sheetView showGridLines="0" workbookViewId="0">
      <selection activeCell="H20" sqref="H20"/>
    </sheetView>
  </sheetViews>
  <sheetFormatPr defaultRowHeight="15" x14ac:dyDescent="0.25"/>
  <cols>
    <col min="1" max="1" width="34" style="32" customWidth="1"/>
    <col min="2" max="2" width="11" style="32" customWidth="1"/>
    <col min="3" max="4" width="14" style="32" customWidth="1"/>
    <col min="5" max="5" width="16" style="32" customWidth="1"/>
    <col min="6" max="9" width="10.5703125" style="32" customWidth="1"/>
    <col min="10" max="20" width="11.85546875" style="32" customWidth="1"/>
    <col min="21" max="22" width="10.5703125" style="32" customWidth="1"/>
  </cols>
  <sheetData>
    <row r="1" spans="1:41" x14ac:dyDescent="0.25">
      <c r="A1" s="36" t="s">
        <v>193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/>
      <c r="AG1" s="37"/>
      <c r="AH1" s="37"/>
      <c r="AI1" s="37"/>
      <c r="AJ1" s="37"/>
      <c r="AK1" s="37"/>
      <c r="AL1" s="37"/>
      <c r="AM1" s="37"/>
      <c r="AN1" s="37"/>
      <c r="AO1" s="37"/>
    </row>
    <row r="2" spans="1:41" ht="30" customHeight="1" x14ac:dyDescent="0.25">
      <c r="A2" s="1" t="s">
        <v>194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41" ht="30" customHeight="1" x14ac:dyDescent="0.25">
      <c r="A3" s="2" t="s">
        <v>195</v>
      </c>
      <c r="B3" s="2" t="s">
        <v>196</v>
      </c>
      <c r="C3" s="2" t="s">
        <v>197</v>
      </c>
      <c r="D3" s="2" t="s">
        <v>198</v>
      </c>
      <c r="E3" s="2" t="s">
        <v>199</v>
      </c>
      <c r="F3" s="2">
        <v>1</v>
      </c>
      <c r="G3" s="2">
        <v>2</v>
      </c>
      <c r="H3" s="2">
        <v>3</v>
      </c>
      <c r="I3" s="2">
        <v>4</v>
      </c>
      <c r="J3" s="2">
        <v>5</v>
      </c>
      <c r="K3" s="2">
        <v>6</v>
      </c>
      <c r="L3" s="2">
        <v>7</v>
      </c>
      <c r="M3" s="2">
        <v>8</v>
      </c>
      <c r="N3" s="2">
        <v>9</v>
      </c>
      <c r="O3" s="2">
        <v>10</v>
      </c>
      <c r="P3" s="2">
        <v>11</v>
      </c>
      <c r="Q3" s="2">
        <v>12</v>
      </c>
      <c r="R3" s="2">
        <v>13</v>
      </c>
      <c r="S3" s="2">
        <v>14</v>
      </c>
      <c r="T3" s="2">
        <v>15</v>
      </c>
      <c r="U3" s="2">
        <v>16</v>
      </c>
      <c r="V3" s="2">
        <v>17</v>
      </c>
      <c r="W3" s="2">
        <v>18</v>
      </c>
      <c r="X3" s="2">
        <v>19</v>
      </c>
      <c r="Y3" s="2">
        <v>20</v>
      </c>
      <c r="Z3" s="2">
        <v>21</v>
      </c>
      <c r="AA3" s="2">
        <v>22</v>
      </c>
      <c r="AB3" s="2">
        <v>23</v>
      </c>
      <c r="AC3" s="2">
        <v>24</v>
      </c>
      <c r="AD3" s="2">
        <v>25</v>
      </c>
      <c r="AE3" s="2">
        <v>26</v>
      </c>
      <c r="AF3" s="2">
        <v>27</v>
      </c>
      <c r="AG3" s="2">
        <v>28</v>
      </c>
      <c r="AH3" s="2">
        <v>29</v>
      </c>
      <c r="AI3" s="2">
        <v>30</v>
      </c>
      <c r="AJ3" s="2">
        <v>31</v>
      </c>
      <c r="AK3" s="2">
        <v>32</v>
      </c>
      <c r="AL3" s="2">
        <v>33</v>
      </c>
      <c r="AM3" s="2">
        <v>34</v>
      </c>
      <c r="AN3" s="2">
        <v>35</v>
      </c>
      <c r="AO3" s="2">
        <v>36</v>
      </c>
    </row>
    <row r="4" spans="1:41" x14ac:dyDescent="0.25">
      <c r="A4" s="1" t="s">
        <v>134</v>
      </c>
      <c r="B4" s="1">
        <f>1</f>
        <v>1</v>
      </c>
      <c r="C4" s="1">
        <f>MAX(1,ROUNDUP(Вводные!$B$8*0.1,0))</f>
        <v>2</v>
      </c>
      <c r="D4" s="1">
        <f t="shared" ref="D4:D14" si="0">B4+C4-1</f>
        <v>2</v>
      </c>
      <c r="E4" s="1">
        <f>Структура_затрат!H9</f>
        <v>14148576</v>
      </c>
      <c r="F4" s="18">
        <f t="shared" ref="F4:O13" si="1">IF(AND(F$3&gt;=$B4,F$3&lt;=$D4),$E4/$C4,0)</f>
        <v>7074288</v>
      </c>
      <c r="G4" s="18">
        <f t="shared" si="1"/>
        <v>7074288</v>
      </c>
      <c r="H4" s="18">
        <f t="shared" si="1"/>
        <v>0</v>
      </c>
      <c r="I4" s="18">
        <f t="shared" si="1"/>
        <v>0</v>
      </c>
      <c r="J4" s="18">
        <f t="shared" si="1"/>
        <v>0</v>
      </c>
      <c r="K4" s="18">
        <f t="shared" si="1"/>
        <v>0</v>
      </c>
      <c r="L4" s="18">
        <f t="shared" si="1"/>
        <v>0</v>
      </c>
      <c r="M4" s="18">
        <f t="shared" si="1"/>
        <v>0</v>
      </c>
      <c r="N4" s="18">
        <f t="shared" si="1"/>
        <v>0</v>
      </c>
      <c r="O4" s="18">
        <f t="shared" si="1"/>
        <v>0</v>
      </c>
      <c r="P4" s="18">
        <f t="shared" ref="P4:Y13" si="2">IF(AND(P$3&gt;=$B4,P$3&lt;=$D4),$E4/$C4,0)</f>
        <v>0</v>
      </c>
      <c r="Q4" s="18">
        <f t="shared" si="2"/>
        <v>0</v>
      </c>
      <c r="R4" s="18">
        <f t="shared" si="2"/>
        <v>0</v>
      </c>
      <c r="S4" s="18">
        <f t="shared" si="2"/>
        <v>0</v>
      </c>
      <c r="T4" s="18">
        <f t="shared" si="2"/>
        <v>0</v>
      </c>
      <c r="U4" s="18">
        <f t="shared" si="2"/>
        <v>0</v>
      </c>
      <c r="V4" s="18">
        <f t="shared" si="2"/>
        <v>0</v>
      </c>
      <c r="W4" s="18">
        <f t="shared" si="2"/>
        <v>0</v>
      </c>
      <c r="X4" s="18">
        <f t="shared" si="2"/>
        <v>0</v>
      </c>
      <c r="Y4" s="18">
        <f t="shared" si="2"/>
        <v>0</v>
      </c>
      <c r="Z4" s="18">
        <f t="shared" ref="Z4:AI13" si="3">IF(AND(Z$3&gt;=$B4,Z$3&lt;=$D4),$E4/$C4,0)</f>
        <v>0</v>
      </c>
      <c r="AA4" s="18">
        <f t="shared" si="3"/>
        <v>0</v>
      </c>
      <c r="AB4" s="18">
        <f t="shared" si="3"/>
        <v>0</v>
      </c>
      <c r="AC4" s="18">
        <f t="shared" si="3"/>
        <v>0</v>
      </c>
      <c r="AD4" s="18">
        <f t="shared" si="3"/>
        <v>0</v>
      </c>
      <c r="AE4" s="18">
        <f t="shared" si="3"/>
        <v>0</v>
      </c>
      <c r="AF4" s="18">
        <f t="shared" si="3"/>
        <v>0</v>
      </c>
      <c r="AG4" s="18">
        <f t="shared" si="3"/>
        <v>0</v>
      </c>
      <c r="AH4" s="18">
        <f t="shared" si="3"/>
        <v>0</v>
      </c>
      <c r="AI4" s="18">
        <f t="shared" si="3"/>
        <v>0</v>
      </c>
      <c r="AJ4" s="18">
        <f t="shared" ref="AJ4:AO13" si="4">IF(AND(AJ$3&gt;=$B4,AJ$3&lt;=$D4),$E4/$C4,0)</f>
        <v>0</v>
      </c>
      <c r="AK4" s="18">
        <f t="shared" si="4"/>
        <v>0</v>
      </c>
      <c r="AL4" s="18">
        <f t="shared" si="4"/>
        <v>0</v>
      </c>
      <c r="AM4" s="18">
        <f t="shared" si="4"/>
        <v>0</v>
      </c>
      <c r="AN4" s="18">
        <f t="shared" si="4"/>
        <v>0</v>
      </c>
      <c r="AO4" s="18">
        <f t="shared" si="4"/>
        <v>0</v>
      </c>
    </row>
    <row r="5" spans="1:41" x14ac:dyDescent="0.25">
      <c r="A5" s="1" t="s">
        <v>136</v>
      </c>
      <c r="B5" s="1">
        <f>MAX(1,ROUNDUP(Вводные!$B$8*0.08,0))</f>
        <v>2</v>
      </c>
      <c r="C5" s="1">
        <f>MAX(1,ROUNDUP(Вводные!$B$8*0.1,0))</f>
        <v>2</v>
      </c>
      <c r="D5" s="1">
        <f t="shared" si="0"/>
        <v>3</v>
      </c>
      <c r="E5" s="1">
        <f>Структура_затрат!H10</f>
        <v>19431540</v>
      </c>
      <c r="F5" s="18">
        <f t="shared" si="1"/>
        <v>0</v>
      </c>
      <c r="G5" s="18">
        <f t="shared" si="1"/>
        <v>9715770</v>
      </c>
      <c r="H5" s="18">
        <f t="shared" si="1"/>
        <v>9715770</v>
      </c>
      <c r="I5" s="18">
        <f t="shared" si="1"/>
        <v>0</v>
      </c>
      <c r="J5" s="18">
        <f t="shared" si="1"/>
        <v>0</v>
      </c>
      <c r="K5" s="18">
        <f t="shared" si="1"/>
        <v>0</v>
      </c>
      <c r="L5" s="18">
        <f t="shared" si="1"/>
        <v>0</v>
      </c>
      <c r="M5" s="18">
        <f t="shared" si="1"/>
        <v>0</v>
      </c>
      <c r="N5" s="18">
        <f t="shared" si="1"/>
        <v>0</v>
      </c>
      <c r="O5" s="18">
        <f t="shared" si="1"/>
        <v>0</v>
      </c>
      <c r="P5" s="18">
        <f t="shared" si="2"/>
        <v>0</v>
      </c>
      <c r="Q5" s="18">
        <f t="shared" si="2"/>
        <v>0</v>
      </c>
      <c r="R5" s="18">
        <f t="shared" si="2"/>
        <v>0</v>
      </c>
      <c r="S5" s="18">
        <f t="shared" si="2"/>
        <v>0</v>
      </c>
      <c r="T5" s="18">
        <f t="shared" si="2"/>
        <v>0</v>
      </c>
      <c r="U5" s="18">
        <f t="shared" si="2"/>
        <v>0</v>
      </c>
      <c r="V5" s="18">
        <f t="shared" si="2"/>
        <v>0</v>
      </c>
      <c r="W5" s="18">
        <f t="shared" si="2"/>
        <v>0</v>
      </c>
      <c r="X5" s="18">
        <f t="shared" si="2"/>
        <v>0</v>
      </c>
      <c r="Y5" s="18">
        <f t="shared" si="2"/>
        <v>0</v>
      </c>
      <c r="Z5" s="18">
        <f t="shared" si="3"/>
        <v>0</v>
      </c>
      <c r="AA5" s="18">
        <f t="shared" si="3"/>
        <v>0</v>
      </c>
      <c r="AB5" s="18">
        <f t="shared" si="3"/>
        <v>0</v>
      </c>
      <c r="AC5" s="18">
        <f t="shared" si="3"/>
        <v>0</v>
      </c>
      <c r="AD5" s="18">
        <f t="shared" si="3"/>
        <v>0</v>
      </c>
      <c r="AE5" s="18">
        <f t="shared" si="3"/>
        <v>0</v>
      </c>
      <c r="AF5" s="18">
        <f t="shared" si="3"/>
        <v>0</v>
      </c>
      <c r="AG5" s="18">
        <f t="shared" si="3"/>
        <v>0</v>
      </c>
      <c r="AH5" s="18">
        <f t="shared" si="3"/>
        <v>0</v>
      </c>
      <c r="AI5" s="18">
        <f t="shared" si="3"/>
        <v>0</v>
      </c>
      <c r="AJ5" s="18">
        <f t="shared" si="4"/>
        <v>0</v>
      </c>
      <c r="AK5" s="18">
        <f t="shared" si="4"/>
        <v>0</v>
      </c>
      <c r="AL5" s="18">
        <f t="shared" si="4"/>
        <v>0</v>
      </c>
      <c r="AM5" s="18">
        <f t="shared" si="4"/>
        <v>0</v>
      </c>
      <c r="AN5" s="18">
        <f t="shared" si="4"/>
        <v>0</v>
      </c>
      <c r="AO5" s="18">
        <f t="shared" si="4"/>
        <v>0</v>
      </c>
    </row>
    <row r="6" spans="1:41" x14ac:dyDescent="0.25">
      <c r="A6" s="1" t="s">
        <v>200</v>
      </c>
      <c r="B6" s="1">
        <f>MAX(1,ROUNDUP(Вводные!$B$8*0.12,0))</f>
        <v>3</v>
      </c>
      <c r="C6" s="1">
        <f>MAX(1,ROUNDUP(Вводные!$B$8*0.15,0))</f>
        <v>3</v>
      </c>
      <c r="D6" s="1">
        <f t="shared" si="0"/>
        <v>5</v>
      </c>
      <c r="E6" s="1">
        <f>Структура_затрат!H11</f>
        <v>82584045</v>
      </c>
      <c r="F6" s="18">
        <f t="shared" si="1"/>
        <v>0</v>
      </c>
      <c r="G6" s="18">
        <f t="shared" si="1"/>
        <v>0</v>
      </c>
      <c r="H6" s="18">
        <f t="shared" si="1"/>
        <v>27528015</v>
      </c>
      <c r="I6" s="18">
        <f t="shared" si="1"/>
        <v>27528015</v>
      </c>
      <c r="J6" s="18">
        <f t="shared" si="1"/>
        <v>27528015</v>
      </c>
      <c r="K6" s="18">
        <f t="shared" si="1"/>
        <v>0</v>
      </c>
      <c r="L6" s="18">
        <f t="shared" si="1"/>
        <v>0</v>
      </c>
      <c r="M6" s="18">
        <f t="shared" si="1"/>
        <v>0</v>
      </c>
      <c r="N6" s="18">
        <f t="shared" si="1"/>
        <v>0</v>
      </c>
      <c r="O6" s="18">
        <f t="shared" si="1"/>
        <v>0</v>
      </c>
      <c r="P6" s="18">
        <f t="shared" si="2"/>
        <v>0</v>
      </c>
      <c r="Q6" s="18">
        <f t="shared" si="2"/>
        <v>0</v>
      </c>
      <c r="R6" s="18">
        <f t="shared" si="2"/>
        <v>0</v>
      </c>
      <c r="S6" s="18">
        <f t="shared" si="2"/>
        <v>0</v>
      </c>
      <c r="T6" s="18">
        <f t="shared" si="2"/>
        <v>0</v>
      </c>
      <c r="U6" s="18">
        <f t="shared" si="2"/>
        <v>0</v>
      </c>
      <c r="V6" s="18">
        <f t="shared" si="2"/>
        <v>0</v>
      </c>
      <c r="W6" s="18">
        <f t="shared" si="2"/>
        <v>0</v>
      </c>
      <c r="X6" s="18">
        <f t="shared" si="2"/>
        <v>0</v>
      </c>
      <c r="Y6" s="18">
        <f t="shared" si="2"/>
        <v>0</v>
      </c>
      <c r="Z6" s="18">
        <f t="shared" si="3"/>
        <v>0</v>
      </c>
      <c r="AA6" s="18">
        <f t="shared" si="3"/>
        <v>0</v>
      </c>
      <c r="AB6" s="18">
        <f t="shared" si="3"/>
        <v>0</v>
      </c>
      <c r="AC6" s="18">
        <f t="shared" si="3"/>
        <v>0</v>
      </c>
      <c r="AD6" s="18">
        <f t="shared" si="3"/>
        <v>0</v>
      </c>
      <c r="AE6" s="18">
        <f t="shared" si="3"/>
        <v>0</v>
      </c>
      <c r="AF6" s="18">
        <f t="shared" si="3"/>
        <v>0</v>
      </c>
      <c r="AG6" s="18">
        <f t="shared" si="3"/>
        <v>0</v>
      </c>
      <c r="AH6" s="18">
        <f t="shared" si="3"/>
        <v>0</v>
      </c>
      <c r="AI6" s="18">
        <f t="shared" si="3"/>
        <v>0</v>
      </c>
      <c r="AJ6" s="18">
        <f t="shared" si="4"/>
        <v>0</v>
      </c>
      <c r="AK6" s="18">
        <f t="shared" si="4"/>
        <v>0</v>
      </c>
      <c r="AL6" s="18">
        <f t="shared" si="4"/>
        <v>0</v>
      </c>
      <c r="AM6" s="18">
        <f t="shared" si="4"/>
        <v>0</v>
      </c>
      <c r="AN6" s="18">
        <f t="shared" si="4"/>
        <v>0</v>
      </c>
      <c r="AO6" s="18">
        <f t="shared" si="4"/>
        <v>0</v>
      </c>
    </row>
    <row r="7" spans="1:41" x14ac:dyDescent="0.25">
      <c r="A7" s="1" t="s">
        <v>201</v>
      </c>
      <c r="B7" s="1">
        <f>MAX(1,ROUNDUP(Вводные!$B$8*0.18,0))</f>
        <v>4</v>
      </c>
      <c r="C7" s="1">
        <f>MAX(1,ROUNDUP(Вводные!$B$8*0.15,0))</f>
        <v>3</v>
      </c>
      <c r="D7" s="1">
        <f t="shared" si="0"/>
        <v>6</v>
      </c>
      <c r="E7" s="1">
        <f>Структура_затрат!H12</f>
        <v>0</v>
      </c>
      <c r="F7" s="18">
        <f t="shared" si="1"/>
        <v>0</v>
      </c>
      <c r="G7" s="18">
        <f t="shared" si="1"/>
        <v>0</v>
      </c>
      <c r="H7" s="18">
        <f t="shared" si="1"/>
        <v>0</v>
      </c>
      <c r="I7" s="18">
        <f t="shared" si="1"/>
        <v>0</v>
      </c>
      <c r="J7" s="18">
        <f t="shared" si="1"/>
        <v>0</v>
      </c>
      <c r="K7" s="18">
        <f t="shared" si="1"/>
        <v>0</v>
      </c>
      <c r="L7" s="18">
        <f t="shared" si="1"/>
        <v>0</v>
      </c>
      <c r="M7" s="18">
        <f t="shared" si="1"/>
        <v>0</v>
      </c>
      <c r="N7" s="18">
        <f t="shared" si="1"/>
        <v>0</v>
      </c>
      <c r="O7" s="18">
        <f t="shared" si="1"/>
        <v>0</v>
      </c>
      <c r="P7" s="18">
        <f t="shared" si="2"/>
        <v>0</v>
      </c>
      <c r="Q7" s="18">
        <f t="shared" si="2"/>
        <v>0</v>
      </c>
      <c r="R7" s="18">
        <f t="shared" si="2"/>
        <v>0</v>
      </c>
      <c r="S7" s="18">
        <f t="shared" si="2"/>
        <v>0</v>
      </c>
      <c r="T7" s="18">
        <f t="shared" si="2"/>
        <v>0</v>
      </c>
      <c r="U7" s="18">
        <f t="shared" si="2"/>
        <v>0</v>
      </c>
      <c r="V7" s="18">
        <f t="shared" si="2"/>
        <v>0</v>
      </c>
      <c r="W7" s="18">
        <f t="shared" si="2"/>
        <v>0</v>
      </c>
      <c r="X7" s="18">
        <f t="shared" si="2"/>
        <v>0</v>
      </c>
      <c r="Y7" s="18">
        <f t="shared" si="2"/>
        <v>0</v>
      </c>
      <c r="Z7" s="18">
        <f t="shared" si="3"/>
        <v>0</v>
      </c>
      <c r="AA7" s="18">
        <f t="shared" si="3"/>
        <v>0</v>
      </c>
      <c r="AB7" s="18">
        <f t="shared" si="3"/>
        <v>0</v>
      </c>
      <c r="AC7" s="18">
        <f t="shared" si="3"/>
        <v>0</v>
      </c>
      <c r="AD7" s="18">
        <f t="shared" si="3"/>
        <v>0</v>
      </c>
      <c r="AE7" s="18">
        <f t="shared" si="3"/>
        <v>0</v>
      </c>
      <c r="AF7" s="18">
        <f t="shared" si="3"/>
        <v>0</v>
      </c>
      <c r="AG7" s="18">
        <f t="shared" si="3"/>
        <v>0</v>
      </c>
      <c r="AH7" s="18">
        <f t="shared" si="3"/>
        <v>0</v>
      </c>
      <c r="AI7" s="18">
        <f t="shared" si="3"/>
        <v>0</v>
      </c>
      <c r="AJ7" s="18">
        <f t="shared" si="4"/>
        <v>0</v>
      </c>
      <c r="AK7" s="18">
        <f t="shared" si="4"/>
        <v>0</v>
      </c>
      <c r="AL7" s="18">
        <f t="shared" si="4"/>
        <v>0</v>
      </c>
      <c r="AM7" s="18">
        <f t="shared" si="4"/>
        <v>0</v>
      </c>
      <c r="AN7" s="18">
        <f t="shared" si="4"/>
        <v>0</v>
      </c>
      <c r="AO7" s="18">
        <f t="shared" si="4"/>
        <v>0</v>
      </c>
    </row>
    <row r="8" spans="1:41" x14ac:dyDescent="0.25">
      <c r="A8" s="1" t="s">
        <v>202</v>
      </c>
      <c r="B8" s="1">
        <f>MAX(1,ROUNDUP(Вводные!$B$8*0.25,0))</f>
        <v>5</v>
      </c>
      <c r="C8" s="1">
        <f>MAX(1,ROUNDUP(Вводные!$B$8*0.45,0))</f>
        <v>9</v>
      </c>
      <c r="D8" s="1">
        <f t="shared" si="0"/>
        <v>13</v>
      </c>
      <c r="E8" s="1">
        <f>Структура_затрат!H13</f>
        <v>214826470</v>
      </c>
      <c r="F8" s="18">
        <f t="shared" si="1"/>
        <v>0</v>
      </c>
      <c r="G8" s="18">
        <f t="shared" si="1"/>
        <v>0</v>
      </c>
      <c r="H8" s="18">
        <f t="shared" si="1"/>
        <v>0</v>
      </c>
      <c r="I8" s="18">
        <f t="shared" si="1"/>
        <v>0</v>
      </c>
      <c r="J8" s="18">
        <f t="shared" si="1"/>
        <v>23869607.777777776</v>
      </c>
      <c r="K8" s="18">
        <f t="shared" si="1"/>
        <v>23869607.777777776</v>
      </c>
      <c r="L8" s="18">
        <f t="shared" si="1"/>
        <v>23869607.777777776</v>
      </c>
      <c r="M8" s="18">
        <f t="shared" si="1"/>
        <v>23869607.777777776</v>
      </c>
      <c r="N8" s="18">
        <f t="shared" si="1"/>
        <v>23869607.777777776</v>
      </c>
      <c r="O8" s="18">
        <f t="shared" si="1"/>
        <v>23869607.777777776</v>
      </c>
      <c r="P8" s="18">
        <f t="shared" si="2"/>
        <v>23869607.777777776</v>
      </c>
      <c r="Q8" s="18">
        <f t="shared" si="2"/>
        <v>23869607.777777776</v>
      </c>
      <c r="R8" s="18">
        <f t="shared" si="2"/>
        <v>23869607.777777776</v>
      </c>
      <c r="S8" s="18">
        <f t="shared" si="2"/>
        <v>0</v>
      </c>
      <c r="T8" s="18">
        <f t="shared" si="2"/>
        <v>0</v>
      </c>
      <c r="U8" s="18">
        <f t="shared" si="2"/>
        <v>0</v>
      </c>
      <c r="V8" s="18">
        <f t="shared" si="2"/>
        <v>0</v>
      </c>
      <c r="W8" s="18">
        <f t="shared" si="2"/>
        <v>0</v>
      </c>
      <c r="X8" s="18">
        <f t="shared" si="2"/>
        <v>0</v>
      </c>
      <c r="Y8" s="18">
        <f t="shared" si="2"/>
        <v>0</v>
      </c>
      <c r="Z8" s="18">
        <f t="shared" si="3"/>
        <v>0</v>
      </c>
      <c r="AA8" s="18">
        <f t="shared" si="3"/>
        <v>0</v>
      </c>
      <c r="AB8" s="18">
        <f t="shared" si="3"/>
        <v>0</v>
      </c>
      <c r="AC8" s="18">
        <f t="shared" si="3"/>
        <v>0</v>
      </c>
      <c r="AD8" s="18">
        <f t="shared" si="3"/>
        <v>0</v>
      </c>
      <c r="AE8" s="18">
        <f t="shared" si="3"/>
        <v>0</v>
      </c>
      <c r="AF8" s="18">
        <f t="shared" si="3"/>
        <v>0</v>
      </c>
      <c r="AG8" s="18">
        <f t="shared" si="3"/>
        <v>0</v>
      </c>
      <c r="AH8" s="18">
        <f t="shared" si="3"/>
        <v>0</v>
      </c>
      <c r="AI8" s="18">
        <f t="shared" si="3"/>
        <v>0</v>
      </c>
      <c r="AJ8" s="18">
        <f t="shared" si="4"/>
        <v>0</v>
      </c>
      <c r="AK8" s="18">
        <f t="shared" si="4"/>
        <v>0</v>
      </c>
      <c r="AL8" s="18">
        <f t="shared" si="4"/>
        <v>0</v>
      </c>
      <c r="AM8" s="18">
        <f t="shared" si="4"/>
        <v>0</v>
      </c>
      <c r="AN8" s="18">
        <f t="shared" si="4"/>
        <v>0</v>
      </c>
      <c r="AO8" s="18">
        <f t="shared" si="4"/>
        <v>0</v>
      </c>
    </row>
    <row r="9" spans="1:41" x14ac:dyDescent="0.25">
      <c r="A9" s="1" t="s">
        <v>203</v>
      </c>
      <c r="B9" s="1">
        <f>MAX(1,ROUNDUP(Вводные!$B$8*0.45,0))</f>
        <v>9</v>
      </c>
      <c r="C9" s="1">
        <f>MAX(1,ROUNDUP(Вводные!$B$8*0.33,0))</f>
        <v>6</v>
      </c>
      <c r="D9" s="1">
        <f t="shared" si="0"/>
        <v>14</v>
      </c>
      <c r="E9" s="1">
        <f>Структура_затрат!H14+Структура_затрат!H17</f>
        <v>197553990</v>
      </c>
      <c r="F9" s="18">
        <f t="shared" si="1"/>
        <v>0</v>
      </c>
      <c r="G9" s="18">
        <f t="shared" si="1"/>
        <v>0</v>
      </c>
      <c r="H9" s="18">
        <f t="shared" si="1"/>
        <v>0</v>
      </c>
      <c r="I9" s="18">
        <f t="shared" si="1"/>
        <v>0</v>
      </c>
      <c r="J9" s="18">
        <f t="shared" si="1"/>
        <v>0</v>
      </c>
      <c r="K9" s="18">
        <f t="shared" si="1"/>
        <v>0</v>
      </c>
      <c r="L9" s="18">
        <f t="shared" si="1"/>
        <v>0</v>
      </c>
      <c r="M9" s="18">
        <f t="shared" si="1"/>
        <v>0</v>
      </c>
      <c r="N9" s="18">
        <f t="shared" si="1"/>
        <v>32925665</v>
      </c>
      <c r="O9" s="18">
        <f t="shared" si="1"/>
        <v>32925665</v>
      </c>
      <c r="P9" s="18">
        <f t="shared" si="2"/>
        <v>32925665</v>
      </c>
      <c r="Q9" s="18">
        <f t="shared" si="2"/>
        <v>32925665</v>
      </c>
      <c r="R9" s="18">
        <f t="shared" si="2"/>
        <v>32925665</v>
      </c>
      <c r="S9" s="18">
        <f t="shared" si="2"/>
        <v>32925665</v>
      </c>
      <c r="T9" s="18">
        <f t="shared" si="2"/>
        <v>0</v>
      </c>
      <c r="U9" s="18">
        <f t="shared" si="2"/>
        <v>0</v>
      </c>
      <c r="V9" s="18">
        <f t="shared" si="2"/>
        <v>0</v>
      </c>
      <c r="W9" s="18">
        <f t="shared" si="2"/>
        <v>0</v>
      </c>
      <c r="X9" s="18">
        <f t="shared" si="2"/>
        <v>0</v>
      </c>
      <c r="Y9" s="18">
        <f t="shared" si="2"/>
        <v>0</v>
      </c>
      <c r="Z9" s="18">
        <f t="shared" si="3"/>
        <v>0</v>
      </c>
      <c r="AA9" s="18">
        <f t="shared" si="3"/>
        <v>0</v>
      </c>
      <c r="AB9" s="18">
        <f t="shared" si="3"/>
        <v>0</v>
      </c>
      <c r="AC9" s="18">
        <f t="shared" si="3"/>
        <v>0</v>
      </c>
      <c r="AD9" s="18">
        <f t="shared" si="3"/>
        <v>0</v>
      </c>
      <c r="AE9" s="18">
        <f t="shared" si="3"/>
        <v>0</v>
      </c>
      <c r="AF9" s="18">
        <f t="shared" si="3"/>
        <v>0</v>
      </c>
      <c r="AG9" s="18">
        <f t="shared" si="3"/>
        <v>0</v>
      </c>
      <c r="AH9" s="18">
        <f t="shared" si="3"/>
        <v>0</v>
      </c>
      <c r="AI9" s="18">
        <f t="shared" si="3"/>
        <v>0</v>
      </c>
      <c r="AJ9" s="18">
        <f t="shared" si="4"/>
        <v>0</v>
      </c>
      <c r="AK9" s="18">
        <f t="shared" si="4"/>
        <v>0</v>
      </c>
      <c r="AL9" s="18">
        <f t="shared" si="4"/>
        <v>0</v>
      </c>
      <c r="AM9" s="18">
        <f t="shared" si="4"/>
        <v>0</v>
      </c>
      <c r="AN9" s="18">
        <f t="shared" si="4"/>
        <v>0</v>
      </c>
      <c r="AO9" s="18">
        <f t="shared" si="4"/>
        <v>0</v>
      </c>
    </row>
    <row r="10" spans="1:41" x14ac:dyDescent="0.25">
      <c r="A10" s="1" t="s">
        <v>204</v>
      </c>
      <c r="B10" s="1">
        <f>MAX(1,ROUNDUP(Вводные!$B$8*0.48,0))</f>
        <v>9</v>
      </c>
      <c r="C10" s="1">
        <f>MAX(1,ROUNDUP(Вводные!$B$8*0.37,0))</f>
        <v>7</v>
      </c>
      <c r="D10" s="1">
        <f t="shared" si="0"/>
        <v>15</v>
      </c>
      <c r="E10" s="1">
        <f>SUM(Структура_затрат!H18:H22)</f>
        <v>171429364</v>
      </c>
      <c r="F10" s="18">
        <f t="shared" si="1"/>
        <v>0</v>
      </c>
      <c r="G10" s="18">
        <f t="shared" si="1"/>
        <v>0</v>
      </c>
      <c r="H10" s="18">
        <f t="shared" si="1"/>
        <v>0</v>
      </c>
      <c r="I10" s="18">
        <f t="shared" si="1"/>
        <v>0</v>
      </c>
      <c r="J10" s="18">
        <f t="shared" si="1"/>
        <v>0</v>
      </c>
      <c r="K10" s="18">
        <f t="shared" si="1"/>
        <v>0</v>
      </c>
      <c r="L10" s="18">
        <f t="shared" si="1"/>
        <v>0</v>
      </c>
      <c r="M10" s="18">
        <f t="shared" si="1"/>
        <v>0</v>
      </c>
      <c r="N10" s="18">
        <f t="shared" si="1"/>
        <v>24489909.142857142</v>
      </c>
      <c r="O10" s="18">
        <f t="shared" si="1"/>
        <v>24489909.142857142</v>
      </c>
      <c r="P10" s="18">
        <f t="shared" si="2"/>
        <v>24489909.142857142</v>
      </c>
      <c r="Q10" s="18">
        <f t="shared" si="2"/>
        <v>24489909.142857142</v>
      </c>
      <c r="R10" s="18">
        <f t="shared" si="2"/>
        <v>24489909.142857142</v>
      </c>
      <c r="S10" s="18">
        <f t="shared" si="2"/>
        <v>24489909.142857142</v>
      </c>
      <c r="T10" s="18">
        <f t="shared" si="2"/>
        <v>24489909.142857142</v>
      </c>
      <c r="U10" s="18">
        <f t="shared" si="2"/>
        <v>0</v>
      </c>
      <c r="V10" s="18">
        <f t="shared" si="2"/>
        <v>0</v>
      </c>
      <c r="W10" s="18">
        <f t="shared" si="2"/>
        <v>0</v>
      </c>
      <c r="X10" s="18">
        <f t="shared" si="2"/>
        <v>0</v>
      </c>
      <c r="Y10" s="18">
        <f t="shared" si="2"/>
        <v>0</v>
      </c>
      <c r="Z10" s="18">
        <f t="shared" si="3"/>
        <v>0</v>
      </c>
      <c r="AA10" s="18">
        <f t="shared" si="3"/>
        <v>0</v>
      </c>
      <c r="AB10" s="18">
        <f t="shared" si="3"/>
        <v>0</v>
      </c>
      <c r="AC10" s="18">
        <f t="shared" si="3"/>
        <v>0</v>
      </c>
      <c r="AD10" s="18">
        <f t="shared" si="3"/>
        <v>0</v>
      </c>
      <c r="AE10" s="18">
        <f t="shared" si="3"/>
        <v>0</v>
      </c>
      <c r="AF10" s="18">
        <f t="shared" si="3"/>
        <v>0</v>
      </c>
      <c r="AG10" s="18">
        <f t="shared" si="3"/>
        <v>0</v>
      </c>
      <c r="AH10" s="18">
        <f t="shared" si="3"/>
        <v>0</v>
      </c>
      <c r="AI10" s="18">
        <f t="shared" si="3"/>
        <v>0</v>
      </c>
      <c r="AJ10" s="18">
        <f t="shared" si="4"/>
        <v>0</v>
      </c>
      <c r="AK10" s="18">
        <f t="shared" si="4"/>
        <v>0</v>
      </c>
      <c r="AL10" s="18">
        <f t="shared" si="4"/>
        <v>0</v>
      </c>
      <c r="AM10" s="18">
        <f t="shared" si="4"/>
        <v>0</v>
      </c>
      <c r="AN10" s="18">
        <f t="shared" si="4"/>
        <v>0</v>
      </c>
      <c r="AO10" s="18">
        <f t="shared" si="4"/>
        <v>0</v>
      </c>
    </row>
    <row r="11" spans="1:41" ht="30" customHeight="1" x14ac:dyDescent="0.25">
      <c r="A11" s="1" t="s">
        <v>205</v>
      </c>
      <c r="B11" s="1">
        <f>MAX(1,ROUNDUP(Вводные!$B$8*0.56,0))</f>
        <v>11</v>
      </c>
      <c r="C11" s="1">
        <f>MAX(1,ROUNDUP(Вводные!$B$8*0.33,0))</f>
        <v>6</v>
      </c>
      <c r="D11" s="1">
        <f t="shared" si="0"/>
        <v>16</v>
      </c>
      <c r="E11" s="1">
        <f>Структура_затрат!H15+Структура_затрат!H16</f>
        <v>65311564.999999993</v>
      </c>
      <c r="F11" s="18">
        <f t="shared" si="1"/>
        <v>0</v>
      </c>
      <c r="G11" s="18">
        <f t="shared" si="1"/>
        <v>0</v>
      </c>
      <c r="H11" s="18">
        <f t="shared" si="1"/>
        <v>0</v>
      </c>
      <c r="I11" s="18">
        <f t="shared" si="1"/>
        <v>0</v>
      </c>
      <c r="J11" s="18">
        <f t="shared" si="1"/>
        <v>0</v>
      </c>
      <c r="K11" s="18">
        <f t="shared" si="1"/>
        <v>0</v>
      </c>
      <c r="L11" s="18">
        <f t="shared" si="1"/>
        <v>0</v>
      </c>
      <c r="M11" s="18">
        <f t="shared" si="1"/>
        <v>0</v>
      </c>
      <c r="N11" s="18">
        <f t="shared" si="1"/>
        <v>0</v>
      </c>
      <c r="O11" s="18">
        <f t="shared" si="1"/>
        <v>0</v>
      </c>
      <c r="P11" s="18">
        <f t="shared" si="2"/>
        <v>10885260.833333332</v>
      </c>
      <c r="Q11" s="18">
        <f t="shared" si="2"/>
        <v>10885260.833333332</v>
      </c>
      <c r="R11" s="18">
        <f t="shared" si="2"/>
        <v>10885260.833333332</v>
      </c>
      <c r="S11" s="18">
        <f t="shared" si="2"/>
        <v>10885260.833333332</v>
      </c>
      <c r="T11" s="18">
        <f t="shared" si="2"/>
        <v>10885260.833333332</v>
      </c>
      <c r="U11" s="18">
        <f t="shared" si="2"/>
        <v>10885260.833333332</v>
      </c>
      <c r="V11" s="18">
        <f t="shared" si="2"/>
        <v>0</v>
      </c>
      <c r="W11" s="18">
        <f t="shared" si="2"/>
        <v>0</v>
      </c>
      <c r="X11" s="18">
        <f t="shared" si="2"/>
        <v>0</v>
      </c>
      <c r="Y11" s="18">
        <f t="shared" si="2"/>
        <v>0</v>
      </c>
      <c r="Z11" s="18">
        <f t="shared" si="3"/>
        <v>0</v>
      </c>
      <c r="AA11" s="18">
        <f t="shared" si="3"/>
        <v>0</v>
      </c>
      <c r="AB11" s="18">
        <f t="shared" si="3"/>
        <v>0</v>
      </c>
      <c r="AC11" s="18">
        <f t="shared" si="3"/>
        <v>0</v>
      </c>
      <c r="AD11" s="18">
        <f t="shared" si="3"/>
        <v>0</v>
      </c>
      <c r="AE11" s="18">
        <f t="shared" si="3"/>
        <v>0</v>
      </c>
      <c r="AF11" s="18">
        <f t="shared" si="3"/>
        <v>0</v>
      </c>
      <c r="AG11" s="18">
        <f t="shared" si="3"/>
        <v>0</v>
      </c>
      <c r="AH11" s="18">
        <f t="shared" si="3"/>
        <v>0</v>
      </c>
      <c r="AI11" s="18">
        <f t="shared" si="3"/>
        <v>0</v>
      </c>
      <c r="AJ11" s="18">
        <f t="shared" si="4"/>
        <v>0</v>
      </c>
      <c r="AK11" s="18">
        <f t="shared" si="4"/>
        <v>0</v>
      </c>
      <c r="AL11" s="18">
        <f t="shared" si="4"/>
        <v>0</v>
      </c>
      <c r="AM11" s="18">
        <f t="shared" si="4"/>
        <v>0</v>
      </c>
      <c r="AN11" s="18">
        <f t="shared" si="4"/>
        <v>0</v>
      </c>
      <c r="AO11" s="18">
        <f t="shared" si="4"/>
        <v>0</v>
      </c>
    </row>
    <row r="12" spans="1:41" x14ac:dyDescent="0.25">
      <c r="A12" s="1" t="s">
        <v>206</v>
      </c>
      <c r="B12" s="1">
        <f>MAX(1,ROUNDUP(Вводные!$B$8*0.52,0))</f>
        <v>10</v>
      </c>
      <c r="C12" s="1">
        <f>MAX(1,ROUNDUP(Вводные!$B$8*0.3,0))</f>
        <v>6</v>
      </c>
      <c r="D12" s="1">
        <f t="shared" si="0"/>
        <v>15</v>
      </c>
      <c r="E12" s="1">
        <f>SUM(Структура_затрат!H24:H28)</f>
        <v>28218548.800000001</v>
      </c>
      <c r="F12" s="18">
        <f t="shared" si="1"/>
        <v>0</v>
      </c>
      <c r="G12" s="18">
        <f t="shared" si="1"/>
        <v>0</v>
      </c>
      <c r="H12" s="18">
        <f t="shared" si="1"/>
        <v>0</v>
      </c>
      <c r="I12" s="18">
        <f t="shared" si="1"/>
        <v>0</v>
      </c>
      <c r="J12" s="18">
        <f t="shared" si="1"/>
        <v>0</v>
      </c>
      <c r="K12" s="18">
        <f t="shared" si="1"/>
        <v>0</v>
      </c>
      <c r="L12" s="18">
        <f t="shared" si="1"/>
        <v>0</v>
      </c>
      <c r="M12" s="18">
        <f t="shared" si="1"/>
        <v>0</v>
      </c>
      <c r="N12" s="18">
        <f t="shared" si="1"/>
        <v>0</v>
      </c>
      <c r="O12" s="18">
        <f t="shared" si="1"/>
        <v>4703091.4666666668</v>
      </c>
      <c r="P12" s="18">
        <f t="shared" si="2"/>
        <v>4703091.4666666668</v>
      </c>
      <c r="Q12" s="18">
        <f t="shared" si="2"/>
        <v>4703091.4666666668</v>
      </c>
      <c r="R12" s="18">
        <f t="shared" si="2"/>
        <v>4703091.4666666668</v>
      </c>
      <c r="S12" s="18">
        <f t="shared" si="2"/>
        <v>4703091.4666666668</v>
      </c>
      <c r="T12" s="18">
        <f t="shared" si="2"/>
        <v>4703091.4666666668</v>
      </c>
      <c r="U12" s="18">
        <f t="shared" si="2"/>
        <v>0</v>
      </c>
      <c r="V12" s="18">
        <f t="shared" si="2"/>
        <v>0</v>
      </c>
      <c r="W12" s="18">
        <f t="shared" si="2"/>
        <v>0</v>
      </c>
      <c r="X12" s="18">
        <f t="shared" si="2"/>
        <v>0</v>
      </c>
      <c r="Y12" s="18">
        <f t="shared" si="2"/>
        <v>0</v>
      </c>
      <c r="Z12" s="18">
        <f t="shared" si="3"/>
        <v>0</v>
      </c>
      <c r="AA12" s="18">
        <f t="shared" si="3"/>
        <v>0</v>
      </c>
      <c r="AB12" s="18">
        <f t="shared" si="3"/>
        <v>0</v>
      </c>
      <c r="AC12" s="18">
        <f t="shared" si="3"/>
        <v>0</v>
      </c>
      <c r="AD12" s="18">
        <f t="shared" si="3"/>
        <v>0</v>
      </c>
      <c r="AE12" s="18">
        <f t="shared" si="3"/>
        <v>0</v>
      </c>
      <c r="AF12" s="18">
        <f t="shared" si="3"/>
        <v>0</v>
      </c>
      <c r="AG12" s="18">
        <f t="shared" si="3"/>
        <v>0</v>
      </c>
      <c r="AH12" s="18">
        <f t="shared" si="3"/>
        <v>0</v>
      </c>
      <c r="AI12" s="18">
        <f t="shared" si="3"/>
        <v>0</v>
      </c>
      <c r="AJ12" s="18">
        <f t="shared" si="4"/>
        <v>0</v>
      </c>
      <c r="AK12" s="18">
        <f t="shared" si="4"/>
        <v>0</v>
      </c>
      <c r="AL12" s="18">
        <f t="shared" si="4"/>
        <v>0</v>
      </c>
      <c r="AM12" s="18">
        <f t="shared" si="4"/>
        <v>0</v>
      </c>
      <c r="AN12" s="18">
        <f t="shared" si="4"/>
        <v>0</v>
      </c>
      <c r="AO12" s="18">
        <f t="shared" si="4"/>
        <v>0</v>
      </c>
    </row>
    <row r="13" spans="1:41" x14ac:dyDescent="0.25">
      <c r="A13" s="1" t="s">
        <v>175</v>
      </c>
      <c r="B13" s="1">
        <f>MAX(1,ROUNDUP(Вводные!$B$8*0.82,0))</f>
        <v>15</v>
      </c>
      <c r="C13" s="1">
        <f>MAX(1,ROUNDUP(Вводные!$B$8*0.15,0))</f>
        <v>3</v>
      </c>
      <c r="D13" s="1">
        <f t="shared" si="0"/>
        <v>17</v>
      </c>
      <c r="E13" s="1">
        <f>Структура_затрат!H29</f>
        <v>30982510.999999996</v>
      </c>
      <c r="F13" s="18">
        <f t="shared" si="1"/>
        <v>0</v>
      </c>
      <c r="G13" s="18">
        <f t="shared" si="1"/>
        <v>0</v>
      </c>
      <c r="H13" s="18">
        <f t="shared" si="1"/>
        <v>0</v>
      </c>
      <c r="I13" s="18">
        <f t="shared" si="1"/>
        <v>0</v>
      </c>
      <c r="J13" s="18">
        <f t="shared" si="1"/>
        <v>0</v>
      </c>
      <c r="K13" s="18">
        <f t="shared" si="1"/>
        <v>0</v>
      </c>
      <c r="L13" s="18">
        <f t="shared" si="1"/>
        <v>0</v>
      </c>
      <c r="M13" s="18">
        <f t="shared" si="1"/>
        <v>0</v>
      </c>
      <c r="N13" s="18">
        <f t="shared" si="1"/>
        <v>0</v>
      </c>
      <c r="O13" s="18">
        <f t="shared" si="1"/>
        <v>0</v>
      </c>
      <c r="P13" s="18">
        <f t="shared" si="2"/>
        <v>0</v>
      </c>
      <c r="Q13" s="18">
        <f t="shared" si="2"/>
        <v>0</v>
      </c>
      <c r="R13" s="18">
        <f t="shared" si="2"/>
        <v>0</v>
      </c>
      <c r="S13" s="18">
        <f t="shared" si="2"/>
        <v>0</v>
      </c>
      <c r="T13" s="18">
        <f t="shared" si="2"/>
        <v>10327503.666666666</v>
      </c>
      <c r="U13" s="18">
        <f t="shared" si="2"/>
        <v>10327503.666666666</v>
      </c>
      <c r="V13" s="18">
        <f t="shared" si="2"/>
        <v>10327503.666666666</v>
      </c>
      <c r="W13" s="18">
        <f t="shared" si="2"/>
        <v>0</v>
      </c>
      <c r="X13" s="18">
        <f t="shared" si="2"/>
        <v>0</v>
      </c>
      <c r="Y13" s="18">
        <f t="shared" si="2"/>
        <v>0</v>
      </c>
      <c r="Z13" s="18">
        <f t="shared" si="3"/>
        <v>0</v>
      </c>
      <c r="AA13" s="18">
        <f t="shared" si="3"/>
        <v>0</v>
      </c>
      <c r="AB13" s="18">
        <f t="shared" si="3"/>
        <v>0</v>
      </c>
      <c r="AC13" s="18">
        <f t="shared" si="3"/>
        <v>0</v>
      </c>
      <c r="AD13" s="18">
        <f t="shared" si="3"/>
        <v>0</v>
      </c>
      <c r="AE13" s="18">
        <f t="shared" si="3"/>
        <v>0</v>
      </c>
      <c r="AF13" s="18">
        <f t="shared" si="3"/>
        <v>0</v>
      </c>
      <c r="AG13" s="18">
        <f t="shared" si="3"/>
        <v>0</v>
      </c>
      <c r="AH13" s="18">
        <f t="shared" si="3"/>
        <v>0</v>
      </c>
      <c r="AI13" s="18">
        <f t="shared" si="3"/>
        <v>0</v>
      </c>
      <c r="AJ13" s="18">
        <f t="shared" si="4"/>
        <v>0</v>
      </c>
      <c r="AK13" s="18">
        <f t="shared" si="4"/>
        <v>0</v>
      </c>
      <c r="AL13" s="18">
        <f t="shared" si="4"/>
        <v>0</v>
      </c>
      <c r="AM13" s="18">
        <f t="shared" si="4"/>
        <v>0</v>
      </c>
      <c r="AN13" s="18">
        <f t="shared" si="4"/>
        <v>0</v>
      </c>
      <c r="AO13" s="18">
        <f t="shared" si="4"/>
        <v>0</v>
      </c>
    </row>
    <row r="14" spans="1:41" ht="30" customHeight="1" x14ac:dyDescent="0.25">
      <c r="A14" s="1" t="s">
        <v>207</v>
      </c>
      <c r="B14" s="1">
        <f>1</f>
        <v>1</v>
      </c>
      <c r="C14" s="1">
        <f>MAX(1,Вводные!$B$8)</f>
        <v>18</v>
      </c>
      <c r="D14" s="1">
        <f t="shared" si="0"/>
        <v>18</v>
      </c>
      <c r="E14" s="1">
        <f>SUM(Структура_затрат!H30:H33)</f>
        <v>175887571.81617814</v>
      </c>
      <c r="F14" s="18">
        <f t="shared" ref="F14:AO14" si="5">SUM(F4:F13)</f>
        <v>7074288</v>
      </c>
      <c r="G14" s="18">
        <f t="shared" si="5"/>
        <v>16790058</v>
      </c>
      <c r="H14" s="18">
        <f t="shared" si="5"/>
        <v>37243785</v>
      </c>
      <c r="I14" s="18">
        <f t="shared" si="5"/>
        <v>27528015</v>
      </c>
      <c r="J14" s="18">
        <f t="shared" si="5"/>
        <v>51397622.777777776</v>
      </c>
      <c r="K14" s="18">
        <f t="shared" si="5"/>
        <v>23869607.777777776</v>
      </c>
      <c r="L14" s="18">
        <f t="shared" si="5"/>
        <v>23869607.777777776</v>
      </c>
      <c r="M14" s="18">
        <f t="shared" si="5"/>
        <v>23869607.777777776</v>
      </c>
      <c r="N14" s="18">
        <f t="shared" si="5"/>
        <v>81285181.920634925</v>
      </c>
      <c r="O14" s="18">
        <f t="shared" si="5"/>
        <v>85988273.387301594</v>
      </c>
      <c r="P14" s="18">
        <f t="shared" si="5"/>
        <v>96873534.220634922</v>
      </c>
      <c r="Q14" s="18">
        <f t="shared" si="5"/>
        <v>96873534.220634922</v>
      </c>
      <c r="R14" s="18">
        <f t="shared" si="5"/>
        <v>96873534.220634922</v>
      </c>
      <c r="S14" s="18">
        <f t="shared" si="5"/>
        <v>73003926.442857146</v>
      </c>
      <c r="T14" s="18">
        <f t="shared" si="5"/>
        <v>50405765.10952381</v>
      </c>
      <c r="U14" s="18">
        <f t="shared" si="5"/>
        <v>21212764.5</v>
      </c>
      <c r="V14" s="18">
        <f t="shared" si="5"/>
        <v>10327503.666666666</v>
      </c>
      <c r="W14" s="18">
        <f t="shared" si="5"/>
        <v>0</v>
      </c>
      <c r="X14" s="18">
        <f t="shared" si="5"/>
        <v>0</v>
      </c>
      <c r="Y14" s="18">
        <f t="shared" si="5"/>
        <v>0</v>
      </c>
      <c r="Z14" s="18">
        <f t="shared" si="5"/>
        <v>0</v>
      </c>
      <c r="AA14" s="18">
        <f t="shared" si="5"/>
        <v>0</v>
      </c>
      <c r="AB14" s="18">
        <f t="shared" si="5"/>
        <v>0</v>
      </c>
      <c r="AC14" s="18">
        <f t="shared" si="5"/>
        <v>0</v>
      </c>
      <c r="AD14" s="18">
        <f t="shared" si="5"/>
        <v>0</v>
      </c>
      <c r="AE14" s="18">
        <f t="shared" si="5"/>
        <v>0</v>
      </c>
      <c r="AF14" s="18">
        <f t="shared" si="5"/>
        <v>0</v>
      </c>
      <c r="AG14" s="18">
        <f t="shared" si="5"/>
        <v>0</v>
      </c>
      <c r="AH14" s="18">
        <f t="shared" si="5"/>
        <v>0</v>
      </c>
      <c r="AI14" s="18">
        <f t="shared" si="5"/>
        <v>0</v>
      </c>
      <c r="AJ14" s="18">
        <f t="shared" si="5"/>
        <v>0</v>
      </c>
      <c r="AK14" s="18">
        <f t="shared" si="5"/>
        <v>0</v>
      </c>
      <c r="AL14" s="18">
        <f t="shared" si="5"/>
        <v>0</v>
      </c>
      <c r="AM14" s="18">
        <f t="shared" si="5"/>
        <v>0</v>
      </c>
      <c r="AN14" s="18">
        <f t="shared" si="5"/>
        <v>0</v>
      </c>
      <c r="AO14" s="18">
        <f t="shared" si="5"/>
        <v>0</v>
      </c>
    </row>
    <row r="15" spans="1:4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</row>
    <row r="16" spans="1:41" x14ac:dyDescent="0.25">
      <c r="A16" s="1" t="s">
        <v>208</v>
      </c>
      <c r="B16" s="1"/>
      <c r="C16" s="1"/>
      <c r="D16" s="1"/>
      <c r="E16" s="1"/>
      <c r="F16" s="19">
        <f t="shared" ref="F16:AO16" si="6">SUM(F4:F14)</f>
        <v>14148576</v>
      </c>
      <c r="G16" s="19">
        <f t="shared" si="6"/>
        <v>33580116</v>
      </c>
      <c r="H16" s="19">
        <f t="shared" si="6"/>
        <v>74487570</v>
      </c>
      <c r="I16" s="19">
        <f t="shared" si="6"/>
        <v>55056030</v>
      </c>
      <c r="J16" s="19">
        <f t="shared" si="6"/>
        <v>102795245.55555555</v>
      </c>
      <c r="K16" s="19">
        <f t="shared" si="6"/>
        <v>47739215.555555552</v>
      </c>
      <c r="L16" s="19">
        <f t="shared" si="6"/>
        <v>47739215.555555552</v>
      </c>
      <c r="M16" s="19">
        <f t="shared" si="6"/>
        <v>47739215.555555552</v>
      </c>
      <c r="N16" s="19">
        <f t="shared" si="6"/>
        <v>162570363.84126985</v>
      </c>
      <c r="O16" s="19">
        <f t="shared" si="6"/>
        <v>171976546.77460319</v>
      </c>
      <c r="P16" s="19">
        <f t="shared" si="6"/>
        <v>193747068.44126984</v>
      </c>
      <c r="Q16" s="19">
        <f t="shared" si="6"/>
        <v>193747068.44126984</v>
      </c>
      <c r="R16" s="19">
        <f t="shared" si="6"/>
        <v>193747068.44126984</v>
      </c>
      <c r="S16" s="19">
        <f t="shared" si="6"/>
        <v>146007852.88571429</v>
      </c>
      <c r="T16" s="19">
        <f t="shared" si="6"/>
        <v>100811530.21904762</v>
      </c>
      <c r="U16" s="19">
        <f t="shared" si="6"/>
        <v>42425529</v>
      </c>
      <c r="V16" s="19">
        <f t="shared" si="6"/>
        <v>20655007.333333332</v>
      </c>
      <c r="W16" s="19">
        <f t="shared" si="6"/>
        <v>0</v>
      </c>
      <c r="X16" s="19">
        <f t="shared" si="6"/>
        <v>0</v>
      </c>
      <c r="Y16" s="19">
        <f t="shared" si="6"/>
        <v>0</v>
      </c>
      <c r="Z16" s="19">
        <f t="shared" si="6"/>
        <v>0</v>
      </c>
      <c r="AA16" s="19">
        <f t="shared" si="6"/>
        <v>0</v>
      </c>
      <c r="AB16" s="19">
        <f t="shared" si="6"/>
        <v>0</v>
      </c>
      <c r="AC16" s="19">
        <f t="shared" si="6"/>
        <v>0</v>
      </c>
      <c r="AD16" s="19">
        <f t="shared" si="6"/>
        <v>0</v>
      </c>
      <c r="AE16" s="19">
        <f t="shared" si="6"/>
        <v>0</v>
      </c>
      <c r="AF16" s="19">
        <f t="shared" si="6"/>
        <v>0</v>
      </c>
      <c r="AG16" s="19">
        <f t="shared" si="6"/>
        <v>0</v>
      </c>
      <c r="AH16" s="19">
        <f t="shared" si="6"/>
        <v>0</v>
      </c>
      <c r="AI16" s="19">
        <f t="shared" si="6"/>
        <v>0</v>
      </c>
      <c r="AJ16" s="19">
        <f t="shared" si="6"/>
        <v>0</v>
      </c>
      <c r="AK16" s="19">
        <f t="shared" si="6"/>
        <v>0</v>
      </c>
      <c r="AL16" s="19">
        <f t="shared" si="6"/>
        <v>0</v>
      </c>
      <c r="AM16" s="19">
        <f t="shared" si="6"/>
        <v>0</v>
      </c>
      <c r="AN16" s="19">
        <f t="shared" si="6"/>
        <v>0</v>
      </c>
      <c r="AO16" s="19">
        <f t="shared" si="6"/>
        <v>0</v>
      </c>
    </row>
  </sheetData>
  <mergeCells count="1">
    <mergeCell ref="A1:AO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41"/>
  <sheetViews>
    <sheetView showGridLines="0" workbookViewId="0">
      <selection sqref="A1:O1"/>
    </sheetView>
  </sheetViews>
  <sheetFormatPr defaultRowHeight="15" x14ac:dyDescent="0.25"/>
  <cols>
    <col min="1" max="1" width="8" style="32" customWidth="1"/>
    <col min="2" max="3" width="10" style="32" customWidth="1"/>
    <col min="4" max="4" width="8" style="32" customWidth="1"/>
    <col min="5" max="6" width="14" style="32" customWidth="1"/>
    <col min="7" max="7" width="16" style="32" customWidth="1"/>
    <col min="8" max="8" width="12" style="32" customWidth="1"/>
    <col min="9" max="9" width="14" style="32" customWidth="1"/>
    <col min="10" max="10" width="15" style="32" customWidth="1"/>
    <col min="11" max="14" width="16" style="32" customWidth="1"/>
    <col min="15" max="15" width="14" style="32" customWidth="1"/>
    <col min="16" max="16" width="22" style="32" customWidth="1"/>
  </cols>
  <sheetData>
    <row r="1" spans="1:16" x14ac:dyDescent="0.25">
      <c r="A1" s="36" t="s">
        <v>209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</row>
    <row r="2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6" ht="30" customHeight="1" x14ac:dyDescent="0.25">
      <c r="A3" s="2" t="s">
        <v>210</v>
      </c>
      <c r="B3" s="2" t="s">
        <v>211</v>
      </c>
      <c r="C3" s="2" t="s">
        <v>212</v>
      </c>
      <c r="D3" s="2" t="s">
        <v>213</v>
      </c>
      <c r="E3" s="2" t="s">
        <v>214</v>
      </c>
      <c r="F3" s="2" t="s">
        <v>215</v>
      </c>
      <c r="G3" s="2" t="s">
        <v>216</v>
      </c>
      <c r="H3" s="2" t="s">
        <v>217</v>
      </c>
      <c r="I3" s="2" t="s">
        <v>218</v>
      </c>
      <c r="J3" s="2" t="s">
        <v>219</v>
      </c>
      <c r="K3" s="2" t="s">
        <v>220</v>
      </c>
      <c r="L3" s="2" t="s">
        <v>221</v>
      </c>
      <c r="M3" s="2" t="s">
        <v>222</v>
      </c>
      <c r="N3" s="2" t="s">
        <v>223</v>
      </c>
      <c r="O3" s="2" t="s">
        <v>224</v>
      </c>
      <c r="P3" s="2" t="s">
        <v>225</v>
      </c>
    </row>
    <row r="4" spans="1:16" x14ac:dyDescent="0.25">
      <c r="A4" s="1">
        <v>1</v>
      </c>
      <c r="B4" s="23">
        <v>46054</v>
      </c>
      <c r="C4" s="1">
        <v>1</v>
      </c>
      <c r="D4" s="20">
        <f>IF($A4&lt;=Вводные!$B9,C4/SUMPRODUCT(($A$4:$A$39&lt;=Вводные!$B9)*$C$4:$C$39),0)</f>
        <v>1.9230769230769232E-2</v>
      </c>
      <c r="E4" s="21">
        <f>IF($A4&lt;=Вводные!$B9,Вводные!$B11*D4,0)</f>
        <v>151.16</v>
      </c>
      <c r="F4" s="18">
        <f>Вводные!$B13*(1+Вводные!$B15)^((A4-1)/12)</f>
        <v>175000</v>
      </c>
      <c r="G4" s="18">
        <f t="shared" ref="G4:G39" si="0">E4*F4</f>
        <v>26453000</v>
      </c>
      <c r="H4" s="21">
        <f>IF(AND($A4&gt;=MAX(1,Вводные!$B9-MIN(6,Вводные!$B9)+1),$A4&lt;=Вводные!$B9),Вводные!$B12/MIN(6,Вводные!$B9),0)</f>
        <v>0</v>
      </c>
      <c r="I4" s="18">
        <f>H4*Вводные!$B14</f>
        <v>0</v>
      </c>
      <c r="J4" s="18">
        <f t="shared" ref="J4:J39" si="1">G4+I4</f>
        <v>26453000</v>
      </c>
      <c r="K4" s="18">
        <f>SUM($J$4:J4)</f>
        <v>26453000</v>
      </c>
      <c r="L4" s="18">
        <f t="shared" ref="L4:L39" si="2">K4</f>
        <v>26453000</v>
      </c>
      <c r="M4" s="18">
        <f>IF(AND(YEAR(B4)=YEAR(Вводные!$B$28),MONTH(B4)=MONTH(Вводные!$B$28)),L4,0)</f>
        <v>0</v>
      </c>
      <c r="N4" s="18">
        <f t="shared" ref="N4:N39" si="3">J4</f>
        <v>26453000</v>
      </c>
      <c r="O4" s="18">
        <f t="shared" ref="O4:O39" si="4">IF(E4=0,0,G4/E4)</f>
        <v>175000</v>
      </c>
      <c r="P4" s="27">
        <f>IF(B4&lt;Вводные!$B$28,0,IF(AND(YEAR(B4)=YEAR(Вводные!$B$28),MONTH(B4)=MONTH(Вводные!$B$28)),M4,J4))</f>
        <v>0</v>
      </c>
    </row>
    <row r="5" spans="1:16" x14ac:dyDescent="0.25">
      <c r="A5" s="1">
        <v>2</v>
      </c>
      <c r="B5" s="23">
        <v>46082</v>
      </c>
      <c r="C5" s="1">
        <v>1</v>
      </c>
      <c r="D5" s="20">
        <f>IF($A5&lt;=Вводные!$B9,C5/SUMPRODUCT(($A$4:$A$39&lt;=Вводные!$B9)*$C$4:$C$39),0)</f>
        <v>1.9230769230769232E-2</v>
      </c>
      <c r="E5" s="21">
        <f>IF($A5&lt;=Вводные!$B9,Вводные!$B11*D5,0)</f>
        <v>151.16</v>
      </c>
      <c r="F5" s="18">
        <f>Вводные!$B13*(1+Вводные!$B15)^((A5-1)/12)</f>
        <v>176125.95526925061</v>
      </c>
      <c r="G5" s="18">
        <f t="shared" si="0"/>
        <v>26623199.398499921</v>
      </c>
      <c r="H5" s="21">
        <f>IF(AND($A5&gt;=MAX(1,Вводные!$B9-MIN(6,Вводные!$B9)+1),$A5&lt;=Вводные!$B9),Вводные!$B12/MIN(6,Вводные!$B9),0)</f>
        <v>0</v>
      </c>
      <c r="I5" s="18">
        <f>H5*Вводные!$B14</f>
        <v>0</v>
      </c>
      <c r="J5" s="18">
        <f t="shared" si="1"/>
        <v>26623199.398499921</v>
      </c>
      <c r="K5" s="18">
        <f>SUM($J$4:J5)</f>
        <v>53076199.398499921</v>
      </c>
      <c r="L5" s="18">
        <f t="shared" si="2"/>
        <v>53076199.398499921</v>
      </c>
      <c r="M5" s="18">
        <f>IF(AND(YEAR(B5)=YEAR(Вводные!$B$28),MONTH(B5)=MONTH(Вводные!$B$28)),L5,0)</f>
        <v>0</v>
      </c>
      <c r="N5" s="18">
        <f t="shared" si="3"/>
        <v>26623199.398499921</v>
      </c>
      <c r="O5" s="18">
        <f t="shared" si="4"/>
        <v>176125.95526925061</v>
      </c>
      <c r="P5" s="27">
        <f>IF(B5&lt;Вводные!$B$28,0,IF(AND(YEAR(B5)=YEAR(Вводные!$B$28),MONTH(B5)=MONTH(Вводные!$B$28)),M5,J5))</f>
        <v>0</v>
      </c>
    </row>
    <row r="6" spans="1:16" x14ac:dyDescent="0.25">
      <c r="A6" s="1">
        <v>3</v>
      </c>
      <c r="B6" s="23">
        <v>46113</v>
      </c>
      <c r="C6" s="1">
        <v>1</v>
      </c>
      <c r="D6" s="20">
        <f>IF($A6&lt;=Вводные!$B9,C6/SUMPRODUCT(($A$4:$A$39&lt;=Вводные!$B9)*$C$4:$C$39),0)</f>
        <v>1.9230769230769232E-2</v>
      </c>
      <c r="E6" s="21">
        <f>IF($A6&lt;=Вводные!$B9,Вводные!$B11*D6,0)</f>
        <v>151.16</v>
      </c>
      <c r="F6" s="18">
        <f>Вводные!$B13*(1+Вводные!$B15)^((A6-1)/12)</f>
        <v>177259.15496860608</v>
      </c>
      <c r="G6" s="18">
        <f t="shared" si="0"/>
        <v>26794493.865054492</v>
      </c>
      <c r="H6" s="21">
        <f>IF(AND($A6&gt;=MAX(1,Вводные!$B9-MIN(6,Вводные!$B9)+1),$A6&lt;=Вводные!$B9),Вводные!$B12/MIN(6,Вводные!$B9),0)</f>
        <v>0</v>
      </c>
      <c r="I6" s="18">
        <f>H6*Вводные!$B14</f>
        <v>0</v>
      </c>
      <c r="J6" s="18">
        <f t="shared" si="1"/>
        <v>26794493.865054492</v>
      </c>
      <c r="K6" s="18">
        <f>SUM($J$4:J6)</f>
        <v>79870693.263554409</v>
      </c>
      <c r="L6" s="18">
        <f t="shared" si="2"/>
        <v>79870693.263554409</v>
      </c>
      <c r="M6" s="18">
        <f>IF(AND(YEAR(B6)=YEAR(Вводные!$B$28),MONTH(B6)=MONTH(Вводные!$B$28)),L6,0)</f>
        <v>0</v>
      </c>
      <c r="N6" s="18">
        <f t="shared" si="3"/>
        <v>26794493.865054492</v>
      </c>
      <c r="O6" s="18">
        <f t="shared" si="4"/>
        <v>177259.15496860608</v>
      </c>
      <c r="P6" s="27">
        <f>IF(B6&lt;Вводные!$B$28,0,IF(AND(YEAR(B6)=YEAR(Вводные!$B$28),MONTH(B6)=MONTH(Вводные!$B$28)),M6,J6))</f>
        <v>0</v>
      </c>
    </row>
    <row r="7" spans="1:16" x14ac:dyDescent="0.25">
      <c r="A7" s="1">
        <v>4</v>
      </c>
      <c r="B7" s="23">
        <v>46143</v>
      </c>
      <c r="C7" s="1">
        <v>1</v>
      </c>
      <c r="D7" s="20">
        <f>IF($A7&lt;=Вводные!$B9,C7/SUMPRODUCT(($A$4:$A$39&lt;=Вводные!$B9)*$C$4:$C$39),0)</f>
        <v>1.9230769230769232E-2</v>
      </c>
      <c r="E7" s="21">
        <f>IF($A7&lt;=Вводные!$B9,Вводные!$B11*D7,0)</f>
        <v>151.16</v>
      </c>
      <c r="F7" s="18">
        <f>Вводные!$B13*(1+Вводные!$B15)^((A7-1)/12)</f>
        <v>178399.64570894785</v>
      </c>
      <c r="G7" s="18">
        <f t="shared" si="0"/>
        <v>26966890.445364557</v>
      </c>
      <c r="H7" s="21">
        <f>IF(AND($A7&gt;=MAX(1,Вводные!$B9-MIN(6,Вводные!$B9)+1),$A7&lt;=Вводные!$B9),Вводные!$B12/MIN(6,Вводные!$B9),0)</f>
        <v>0</v>
      </c>
      <c r="I7" s="18">
        <f>H7*Вводные!$B14</f>
        <v>0</v>
      </c>
      <c r="J7" s="18">
        <f t="shared" si="1"/>
        <v>26966890.445364557</v>
      </c>
      <c r="K7" s="18">
        <f>SUM($J$4:J7)</f>
        <v>106837583.70891896</v>
      </c>
      <c r="L7" s="18">
        <f t="shared" si="2"/>
        <v>106837583.70891896</v>
      </c>
      <c r="M7" s="18">
        <f>IF(AND(YEAR(B7)=YEAR(Вводные!$B$28),MONTH(B7)=MONTH(Вводные!$B$28)),L7,0)</f>
        <v>0</v>
      </c>
      <c r="N7" s="18">
        <f t="shared" si="3"/>
        <v>26966890.445364557</v>
      </c>
      <c r="O7" s="18">
        <f t="shared" si="4"/>
        <v>178399.64570894785</v>
      </c>
      <c r="P7" s="27">
        <f>IF(B7&lt;Вводные!$B$28,0,IF(AND(YEAR(B7)=YEAR(Вводные!$B$28),MONTH(B7)=MONTH(Вводные!$B$28)),M7,J7))</f>
        <v>0</v>
      </c>
    </row>
    <row r="8" spans="1:16" x14ac:dyDescent="0.25">
      <c r="A8" s="1">
        <v>5</v>
      </c>
      <c r="B8" s="23">
        <v>46174</v>
      </c>
      <c r="C8" s="1">
        <v>2</v>
      </c>
      <c r="D8" s="20">
        <f>IF($A8&lt;=Вводные!$B9,C8/SUMPRODUCT(($A$4:$A$39&lt;=Вводные!$B9)*$C$4:$C$39),0)</f>
        <v>3.8461538461538464E-2</v>
      </c>
      <c r="E8" s="21">
        <f>IF($A8&lt;=Вводные!$B9,Вводные!$B11*D8,0)</f>
        <v>302.32</v>
      </c>
      <c r="F8" s="18">
        <f>Вводные!$B13*(1+Вводные!$B15)^((A8-1)/12)</f>
        <v>179547.47440105319</v>
      </c>
      <c r="G8" s="18">
        <f t="shared" si="0"/>
        <v>54280792.460926399</v>
      </c>
      <c r="H8" s="21">
        <f>IF(AND($A8&gt;=MAX(1,Вводные!$B9-MIN(6,Вводные!$B9)+1),$A8&lt;=Вводные!$B9),Вводные!$B12/MIN(6,Вводные!$B9),0)</f>
        <v>0</v>
      </c>
      <c r="I8" s="18">
        <f>H8*Вводные!$B14</f>
        <v>0</v>
      </c>
      <c r="J8" s="18">
        <f t="shared" si="1"/>
        <v>54280792.460926399</v>
      </c>
      <c r="K8" s="18">
        <f>SUM($J$4:J8)</f>
        <v>161118376.16984534</v>
      </c>
      <c r="L8" s="18">
        <f t="shared" si="2"/>
        <v>161118376.16984534</v>
      </c>
      <c r="M8" s="18">
        <f>IF(AND(YEAR(B8)=YEAR(Вводные!$B$28),MONTH(B8)=MONTH(Вводные!$B$28)),L8,0)</f>
        <v>0</v>
      </c>
      <c r="N8" s="18">
        <f t="shared" si="3"/>
        <v>54280792.460926399</v>
      </c>
      <c r="O8" s="18">
        <f t="shared" si="4"/>
        <v>179547.47440105319</v>
      </c>
      <c r="P8" s="27">
        <f>IF(B8&lt;Вводные!$B$28,0,IF(AND(YEAR(B8)=YEAR(Вводные!$B$28),MONTH(B8)=MONTH(Вводные!$B$28)),M8,J8))</f>
        <v>0</v>
      </c>
    </row>
    <row r="9" spans="1:16" x14ac:dyDescent="0.25">
      <c r="A9" s="1">
        <v>6</v>
      </c>
      <c r="B9" s="23">
        <v>46204</v>
      </c>
      <c r="C9" s="1">
        <v>2</v>
      </c>
      <c r="D9" s="20">
        <f>IF($A9&lt;=Вводные!$B9,C9/SUMPRODUCT(($A$4:$A$39&lt;=Вводные!$B9)*$C$4:$C$39),0)</f>
        <v>3.8461538461538464E-2</v>
      </c>
      <c r="E9" s="21">
        <f>IF($A9&lt;=Вводные!$B9,Вводные!$B11*D9,0)</f>
        <v>302.32</v>
      </c>
      <c r="F9" s="18">
        <f>Вводные!$B13*(1+Вводные!$B15)^((A9-1)/12)</f>
        <v>180702.68825752463</v>
      </c>
      <c r="G9" s="18">
        <f t="shared" si="0"/>
        <v>54630036.714014843</v>
      </c>
      <c r="H9" s="21">
        <f>IF(AND($A9&gt;=MAX(1,Вводные!$B9-MIN(6,Вводные!$B9)+1),$A9&lt;=Вводные!$B9),Вводные!$B12/MIN(6,Вводные!$B9),0)</f>
        <v>0</v>
      </c>
      <c r="I9" s="18">
        <f>H9*Вводные!$B14</f>
        <v>0</v>
      </c>
      <c r="J9" s="18">
        <f t="shared" si="1"/>
        <v>54630036.714014843</v>
      </c>
      <c r="K9" s="18">
        <f>SUM($J$4:J9)</f>
        <v>215748412.88386017</v>
      </c>
      <c r="L9" s="18">
        <f t="shared" si="2"/>
        <v>215748412.88386017</v>
      </c>
      <c r="M9" s="18">
        <f>IF(AND(YEAR(B9)=YEAR(Вводные!$B$28),MONTH(B9)=MONTH(Вводные!$B$28)),L9,0)</f>
        <v>0</v>
      </c>
      <c r="N9" s="18">
        <f t="shared" si="3"/>
        <v>54630036.714014843</v>
      </c>
      <c r="O9" s="18">
        <f t="shared" si="4"/>
        <v>180702.68825752463</v>
      </c>
      <c r="P9" s="27">
        <f>IF(B9&lt;Вводные!$B$28,0,IF(AND(YEAR(B9)=YEAR(Вводные!$B$28),MONTH(B9)=MONTH(Вводные!$B$28)),M9,J9))</f>
        <v>0</v>
      </c>
    </row>
    <row r="10" spans="1:16" x14ac:dyDescent="0.25">
      <c r="A10" s="1">
        <v>7</v>
      </c>
      <c r="B10" s="23">
        <v>46235</v>
      </c>
      <c r="C10" s="1">
        <v>3</v>
      </c>
      <c r="D10" s="20">
        <f>IF($A10&lt;=Вводные!$B9,C10/SUMPRODUCT(($A$4:$A$39&lt;=Вводные!$B9)*$C$4:$C$39),0)</f>
        <v>5.7692307692307696E-2</v>
      </c>
      <c r="E10" s="21">
        <f>IF($A10&lt;=Вводные!$B9,Вводные!$B11*D10,0)</f>
        <v>453.48</v>
      </c>
      <c r="F10" s="18">
        <f>Вводные!$B13*(1+Вводные!$B15)^((A10-1)/12)</f>
        <v>181865.33479473213</v>
      </c>
      <c r="G10" s="18">
        <f t="shared" si="0"/>
        <v>82472292.022715136</v>
      </c>
      <c r="H10" s="21">
        <f>IF(AND($A10&gt;=MAX(1,Вводные!$B9-MIN(6,Вводные!$B9)+1),$A10&lt;=Вводные!$B9),Вводные!$B12/MIN(6,Вводные!$B9),0)</f>
        <v>0</v>
      </c>
      <c r="I10" s="18">
        <f>H10*Вводные!$B14</f>
        <v>0</v>
      </c>
      <c r="J10" s="18">
        <f t="shared" si="1"/>
        <v>82472292.022715136</v>
      </c>
      <c r="K10" s="18">
        <f>SUM($J$4:J10)</f>
        <v>298220704.90657532</v>
      </c>
      <c r="L10" s="18">
        <f t="shared" si="2"/>
        <v>298220704.90657532</v>
      </c>
      <c r="M10" s="18">
        <f>IF(AND(YEAR(B10)=YEAR(Вводные!$B$28),MONTH(B10)=MONTH(Вводные!$B$28)),L10,0)</f>
        <v>0</v>
      </c>
      <c r="N10" s="18">
        <f t="shared" si="3"/>
        <v>82472292.022715136</v>
      </c>
      <c r="O10" s="18">
        <f t="shared" si="4"/>
        <v>181865.33479473213</v>
      </c>
      <c r="P10" s="27">
        <f>IF(B10&lt;Вводные!$B$28,0,IF(AND(YEAR(B10)=YEAR(Вводные!$B$28),MONTH(B10)=MONTH(Вводные!$B$28)),M10,J10))</f>
        <v>0</v>
      </c>
    </row>
    <row r="11" spans="1:16" x14ac:dyDescent="0.25">
      <c r="A11" s="1">
        <v>8</v>
      </c>
      <c r="B11" s="23">
        <v>46266</v>
      </c>
      <c r="C11" s="1">
        <v>3</v>
      </c>
      <c r="D11" s="20">
        <f>IF($A11&lt;=Вводные!$B9,C11/SUMPRODUCT(($A$4:$A$39&lt;=Вводные!$B9)*$C$4:$C$39),0)</f>
        <v>5.7692307692307696E-2</v>
      </c>
      <c r="E11" s="21">
        <f>IF($A11&lt;=Вводные!$B9,Вводные!$B11*D11,0)</f>
        <v>453.48</v>
      </c>
      <c r="F11" s="18">
        <f>Вводные!$B13*(1+Вводные!$B15)^((A11-1)/12)</f>
        <v>183035.46183476728</v>
      </c>
      <c r="G11" s="18">
        <f t="shared" si="0"/>
        <v>83002921.232830271</v>
      </c>
      <c r="H11" s="21">
        <f>IF(AND($A11&gt;=MAX(1,Вводные!$B9-MIN(6,Вводные!$B9)+1),$A11&lt;=Вводные!$B9),Вводные!$B12/MIN(6,Вводные!$B9),0)</f>
        <v>0</v>
      </c>
      <c r="I11" s="18">
        <f>H11*Вводные!$B14</f>
        <v>0</v>
      </c>
      <c r="J11" s="18">
        <f t="shared" si="1"/>
        <v>83002921.232830271</v>
      </c>
      <c r="K11" s="18">
        <f>SUM($J$4:J11)</f>
        <v>381223626.13940561</v>
      </c>
      <c r="L11" s="18">
        <f t="shared" si="2"/>
        <v>381223626.13940561</v>
      </c>
      <c r="M11" s="18">
        <f>IF(AND(YEAR(B11)=YEAR(Вводные!$B$28),MONTH(B11)=MONTH(Вводные!$B$28)),L11,0)</f>
        <v>0</v>
      </c>
      <c r="N11" s="18">
        <f t="shared" si="3"/>
        <v>83002921.232830271</v>
      </c>
      <c r="O11" s="18">
        <f t="shared" si="4"/>
        <v>183035.46183476728</v>
      </c>
      <c r="P11" s="27">
        <f>IF(B11&lt;Вводные!$B$28,0,IF(AND(YEAR(B11)=YEAR(Вводные!$B$28),MONTH(B11)=MONTH(Вводные!$B$28)),M11,J11))</f>
        <v>0</v>
      </c>
    </row>
    <row r="12" spans="1:16" x14ac:dyDescent="0.25">
      <c r="A12" s="1">
        <v>9</v>
      </c>
      <c r="B12" s="23">
        <v>46296</v>
      </c>
      <c r="C12" s="1">
        <v>4</v>
      </c>
      <c r="D12" s="20">
        <f>IF($A12&lt;=Вводные!$B9,C12/SUMPRODUCT(($A$4:$A$39&lt;=Вводные!$B9)*$C$4:$C$39),0)</f>
        <v>7.6923076923076927E-2</v>
      </c>
      <c r="E12" s="21">
        <f>IF($A12&lt;=Вводные!$B9,Вводные!$B11*D12,0)</f>
        <v>604.64</v>
      </c>
      <c r="F12" s="18">
        <f>Вводные!$B13*(1+Вводные!$B15)^((A12-1)/12)</f>
        <v>184213.11750741058</v>
      </c>
      <c r="G12" s="18">
        <f t="shared" si="0"/>
        <v>111382619.36968073</v>
      </c>
      <c r="H12" s="21">
        <f>IF(AND($A12&gt;=MAX(1,Вводные!$B9-MIN(6,Вводные!$B9)+1),$A12&lt;=Вводные!$B9),Вводные!$B12/MIN(6,Вводные!$B9),0)</f>
        <v>0</v>
      </c>
      <c r="I12" s="18">
        <f>H12*Вводные!$B14</f>
        <v>0</v>
      </c>
      <c r="J12" s="18">
        <f t="shared" si="1"/>
        <v>111382619.36968073</v>
      </c>
      <c r="K12" s="18">
        <f>SUM($J$4:J12)</f>
        <v>492606245.50908637</v>
      </c>
      <c r="L12" s="18">
        <f t="shared" si="2"/>
        <v>492606245.50908637</v>
      </c>
      <c r="M12" s="18">
        <f>IF(AND(YEAR(B12)=YEAR(Вводные!$B$28),MONTH(B12)=MONTH(Вводные!$B$28)),L12,0)</f>
        <v>0</v>
      </c>
      <c r="N12" s="18">
        <f t="shared" si="3"/>
        <v>111382619.36968073</v>
      </c>
      <c r="O12" s="18">
        <f t="shared" si="4"/>
        <v>184213.11750741058</v>
      </c>
      <c r="P12" s="27">
        <f>IF(B12&lt;Вводные!$B$28,0,IF(AND(YEAR(B12)=YEAR(Вводные!$B$28),MONTH(B12)=MONTH(Вводные!$B$28)),M12,J12))</f>
        <v>0</v>
      </c>
    </row>
    <row r="13" spans="1:16" x14ac:dyDescent="0.25">
      <c r="A13" s="1">
        <v>10</v>
      </c>
      <c r="B13" s="23">
        <v>46327</v>
      </c>
      <c r="C13" s="1">
        <v>4</v>
      </c>
      <c r="D13" s="20">
        <f>IF($A13&lt;=Вводные!$B9,C13/SUMPRODUCT(($A$4:$A$39&lt;=Вводные!$B9)*$C$4:$C$39),0)</f>
        <v>7.6923076923076927E-2</v>
      </c>
      <c r="E13" s="21">
        <f>IF($A13&lt;=Вводные!$B9,Вводные!$B11*D13,0)</f>
        <v>604.64</v>
      </c>
      <c r="F13" s="18">
        <f>Вводные!$B13*(1+Вводные!$B15)^((A13-1)/12)</f>
        <v>185398.35025211086</v>
      </c>
      <c r="G13" s="18">
        <f t="shared" si="0"/>
        <v>112099258.49643631</v>
      </c>
      <c r="H13" s="21">
        <f>IF(AND($A13&gt;=MAX(1,Вводные!$B9-MIN(6,Вводные!$B9)+1),$A13&lt;=Вводные!$B9),Вводные!$B12/MIN(6,Вводные!$B9),0)</f>
        <v>0</v>
      </c>
      <c r="I13" s="18">
        <f>H13*Вводные!$B14</f>
        <v>0</v>
      </c>
      <c r="J13" s="18">
        <f t="shared" si="1"/>
        <v>112099258.49643631</v>
      </c>
      <c r="K13" s="18">
        <f>SUM($J$4:J13)</f>
        <v>604705504.00552273</v>
      </c>
      <c r="L13" s="18">
        <f t="shared" si="2"/>
        <v>604705504.00552273</v>
      </c>
      <c r="M13" s="18">
        <f>IF(AND(YEAR(B13)=YEAR(Вводные!$B$28),MONTH(B13)=MONTH(Вводные!$B$28)),L13,0)</f>
        <v>0</v>
      </c>
      <c r="N13" s="18">
        <f t="shared" si="3"/>
        <v>112099258.49643631</v>
      </c>
      <c r="O13" s="18">
        <f t="shared" si="4"/>
        <v>185398.35025211086</v>
      </c>
      <c r="P13" s="27">
        <f>IF(B13&lt;Вводные!$B$28,0,IF(AND(YEAR(B13)=YEAR(Вводные!$B$28),MONTH(B13)=MONTH(Вводные!$B$28)),M13,J13))</f>
        <v>0</v>
      </c>
    </row>
    <row r="14" spans="1:16" x14ac:dyDescent="0.25">
      <c r="A14" s="1">
        <v>11</v>
      </c>
      <c r="B14" s="23">
        <v>46357</v>
      </c>
      <c r="C14" s="1">
        <v>5</v>
      </c>
      <c r="D14" s="20">
        <f>IF($A14&lt;=Вводные!$B9,C14/SUMPRODUCT(($A$4:$A$39&lt;=Вводные!$B9)*$C$4:$C$39),0)</f>
        <v>9.6153846153846159E-2</v>
      </c>
      <c r="E14" s="21">
        <f>IF($A14&lt;=Вводные!$B9,Вводные!$B11*D14,0)</f>
        <v>755.80000000000007</v>
      </c>
      <c r="F14" s="18">
        <f>Вводные!$B13*(1+Вводные!$B15)^((A14-1)/12)</f>
        <v>186591.20881997788</v>
      </c>
      <c r="G14" s="18">
        <f t="shared" si="0"/>
        <v>141025635.62613928</v>
      </c>
      <c r="H14" s="21">
        <f>IF(AND($A14&gt;=MAX(1,Вводные!$B9-MIN(6,Вводные!$B9)+1),$A14&lt;=Вводные!$B9),Вводные!$B12/MIN(6,Вводные!$B9),0)</f>
        <v>1</v>
      </c>
      <c r="I14" s="18">
        <f>H14*Вводные!$B14</f>
        <v>1600000</v>
      </c>
      <c r="J14" s="18">
        <f t="shared" si="1"/>
        <v>142625635.62613928</v>
      </c>
      <c r="K14" s="18">
        <f>SUM($J$4:J14)</f>
        <v>747331139.63166201</v>
      </c>
      <c r="L14" s="18">
        <f t="shared" si="2"/>
        <v>747331139.63166201</v>
      </c>
      <c r="M14" s="18">
        <f>IF(AND(YEAR(B14)=YEAR(Вводные!$B$28),MONTH(B14)=MONTH(Вводные!$B$28)),L14,0)</f>
        <v>0</v>
      </c>
      <c r="N14" s="18">
        <f t="shared" si="3"/>
        <v>142625635.62613928</v>
      </c>
      <c r="O14" s="18">
        <f t="shared" si="4"/>
        <v>186591.20881997785</v>
      </c>
      <c r="P14" s="27">
        <f>IF(B14&lt;Вводные!$B$28,0,IF(AND(YEAR(B14)=YEAR(Вводные!$B$28),MONTH(B14)=MONTH(Вводные!$B$28)),M14,J14))</f>
        <v>0</v>
      </c>
    </row>
    <row r="15" spans="1:16" x14ac:dyDescent="0.25">
      <c r="A15" s="1">
        <v>12</v>
      </c>
      <c r="B15" s="23">
        <v>46388</v>
      </c>
      <c r="C15" s="1">
        <v>5</v>
      </c>
      <c r="D15" s="20">
        <f>IF($A15&lt;=Вводные!$B9,C15/SUMPRODUCT(($A$4:$A$39&lt;=Вводные!$B9)*$C$4:$C$39),0)</f>
        <v>9.6153846153846159E-2</v>
      </c>
      <c r="E15" s="21">
        <f>IF($A15&lt;=Вводные!$B9,Вводные!$B11*D15,0)</f>
        <v>755.80000000000007</v>
      </c>
      <c r="F15" s="18">
        <f>Вводные!$B13*(1+Вводные!$B15)^((A15-1)/12)</f>
        <v>187791.7422757876</v>
      </c>
      <c r="G15" s="18">
        <f t="shared" si="0"/>
        <v>141932998.8120403</v>
      </c>
      <c r="H15" s="21">
        <f>IF(AND($A15&gt;=MAX(1,Вводные!$B9-MIN(6,Вводные!$B9)+1),$A15&lt;=Вводные!$B9),Вводные!$B12/MIN(6,Вводные!$B9),0)</f>
        <v>1</v>
      </c>
      <c r="I15" s="18">
        <f>H15*Вводные!$B14</f>
        <v>1600000</v>
      </c>
      <c r="J15" s="18">
        <f t="shared" si="1"/>
        <v>143532998.8120403</v>
      </c>
      <c r="K15" s="18">
        <f>SUM($J$4:J15)</f>
        <v>890864138.44370234</v>
      </c>
      <c r="L15" s="18">
        <f t="shared" si="2"/>
        <v>890864138.44370234</v>
      </c>
      <c r="M15" s="18">
        <f>IF(AND(YEAR(B15)=YEAR(Вводные!$B$28),MONTH(B15)=MONTH(Вводные!$B$28)),L15,0)</f>
        <v>0</v>
      </c>
      <c r="N15" s="18">
        <f t="shared" si="3"/>
        <v>143532998.8120403</v>
      </c>
      <c r="O15" s="18">
        <f t="shared" si="4"/>
        <v>187791.74227578763</v>
      </c>
      <c r="P15" s="27">
        <f>IF(B15&lt;Вводные!$B$28,0,IF(AND(YEAR(B15)=YEAR(Вводные!$B$28),MONTH(B15)=MONTH(Вводные!$B$28)),M15,J15))</f>
        <v>0</v>
      </c>
    </row>
    <row r="16" spans="1:16" x14ac:dyDescent="0.25">
      <c r="A16" s="1">
        <v>13</v>
      </c>
      <c r="B16" s="23">
        <v>46419</v>
      </c>
      <c r="C16" s="1">
        <v>5</v>
      </c>
      <c r="D16" s="20">
        <f>IF($A16&lt;=Вводные!$B9,C16/SUMPRODUCT(($A$4:$A$39&lt;=Вводные!$B9)*$C$4:$C$39),0)</f>
        <v>9.6153846153846159E-2</v>
      </c>
      <c r="E16" s="21">
        <f>IF($A16&lt;=Вводные!$B9,Вводные!$B11*D16,0)</f>
        <v>755.80000000000007</v>
      </c>
      <c r="F16" s="18">
        <f>Вводные!$B13*(1+Вводные!$B15)^((A16-1)/12)</f>
        <v>189000</v>
      </c>
      <c r="G16" s="18">
        <f t="shared" si="0"/>
        <v>142846200</v>
      </c>
      <c r="H16" s="21">
        <f>IF(AND($A16&gt;=MAX(1,Вводные!$B9-MIN(6,Вводные!$B9)+1),$A16&lt;=Вводные!$B9),Вводные!$B12/MIN(6,Вводные!$B9),0)</f>
        <v>1</v>
      </c>
      <c r="I16" s="18">
        <f>H16*Вводные!$B14</f>
        <v>1600000</v>
      </c>
      <c r="J16" s="18">
        <f t="shared" si="1"/>
        <v>144446200</v>
      </c>
      <c r="K16" s="18">
        <f>SUM($J$4:J16)</f>
        <v>1035310338.4437023</v>
      </c>
      <c r="L16" s="18">
        <f t="shared" si="2"/>
        <v>1035310338.4437023</v>
      </c>
      <c r="M16" s="18">
        <f>IF(AND(YEAR(B16)=YEAR(Вводные!$B$28),MONTH(B16)=MONTH(Вводные!$B$28)),L16,0)</f>
        <v>0</v>
      </c>
      <c r="N16" s="18">
        <f t="shared" si="3"/>
        <v>144446200</v>
      </c>
      <c r="O16" s="18">
        <f t="shared" si="4"/>
        <v>188999.99999999997</v>
      </c>
      <c r="P16" s="27">
        <f>IF(B16&lt;Вводные!$B$28,0,IF(AND(YEAR(B16)=YEAR(Вводные!$B$28),MONTH(B16)=MONTH(Вводные!$B$28)),M16,J16))</f>
        <v>0</v>
      </c>
    </row>
    <row r="17" spans="1:16" x14ac:dyDescent="0.25">
      <c r="A17" s="1">
        <v>14</v>
      </c>
      <c r="B17" s="23">
        <v>46447</v>
      </c>
      <c r="C17" s="1">
        <v>5</v>
      </c>
      <c r="D17" s="20">
        <f>IF($A17&lt;=Вводные!$B9,C17/SUMPRODUCT(($A$4:$A$39&lt;=Вводные!$B9)*$C$4:$C$39),0)</f>
        <v>9.6153846153846159E-2</v>
      </c>
      <c r="E17" s="21">
        <f>IF($A17&lt;=Вводные!$B9,Вводные!$B11*D17,0)</f>
        <v>755.80000000000007</v>
      </c>
      <c r="F17" s="18">
        <f>Вводные!$B13*(1+Вводные!$B15)^((A17-1)/12)</f>
        <v>190216.03169079067</v>
      </c>
      <c r="G17" s="18">
        <f t="shared" si="0"/>
        <v>143765276.7518996</v>
      </c>
      <c r="H17" s="21">
        <f>IF(AND($A17&gt;=MAX(1,Вводные!$B9-MIN(6,Вводные!$B9)+1),$A17&lt;=Вводные!$B9),Вводные!$B12/MIN(6,Вводные!$B9),0)</f>
        <v>1</v>
      </c>
      <c r="I17" s="18">
        <f>H17*Вводные!$B14</f>
        <v>1600000</v>
      </c>
      <c r="J17" s="18">
        <f t="shared" si="1"/>
        <v>145365276.7518996</v>
      </c>
      <c r="K17" s="18">
        <f>SUM($J$4:J17)</f>
        <v>1180675615.1956019</v>
      </c>
      <c r="L17" s="18">
        <f t="shared" si="2"/>
        <v>1180675615.1956019</v>
      </c>
      <c r="M17" s="18">
        <f>IF(AND(YEAR(B17)=YEAR(Вводные!$B$28),MONTH(B17)=MONTH(Вводные!$B$28)),L17,0)</f>
        <v>0</v>
      </c>
      <c r="N17" s="18">
        <f t="shared" si="3"/>
        <v>145365276.7518996</v>
      </c>
      <c r="O17" s="18">
        <f t="shared" si="4"/>
        <v>190216.03169079067</v>
      </c>
      <c r="P17" s="27">
        <f>IF(B17&lt;Вводные!$B$28,0,IF(AND(YEAR(B17)=YEAR(Вводные!$B$28),MONTH(B17)=MONTH(Вводные!$B$28)),M17,J17))</f>
        <v>0</v>
      </c>
    </row>
    <row r="18" spans="1:16" x14ac:dyDescent="0.25">
      <c r="A18" s="1">
        <v>15</v>
      </c>
      <c r="B18" s="23">
        <v>46478</v>
      </c>
      <c r="C18" s="1">
        <v>5</v>
      </c>
      <c r="D18" s="20">
        <f>IF($A18&lt;=Вводные!$B9,C18/SUMPRODUCT(($A$4:$A$39&lt;=Вводные!$B9)*$C$4:$C$39),0)</f>
        <v>9.6153846153846159E-2</v>
      </c>
      <c r="E18" s="21">
        <f>IF($A18&lt;=Вводные!$B9,Вводные!$B11*D18,0)</f>
        <v>755.80000000000007</v>
      </c>
      <c r="F18" s="18">
        <f>Вводные!$B13*(1+Вводные!$B15)^((A18-1)/12)</f>
        <v>191439.8873660946</v>
      </c>
      <c r="G18" s="18">
        <f t="shared" si="0"/>
        <v>144690266.87129432</v>
      </c>
      <c r="H18" s="21">
        <f>IF(AND($A18&gt;=MAX(1,Вводные!$B9-MIN(6,Вводные!$B9)+1),$A18&lt;=Вводные!$B9),Вводные!$B12/MIN(6,Вводные!$B9),0)</f>
        <v>1</v>
      </c>
      <c r="I18" s="18">
        <f>H18*Вводные!$B14</f>
        <v>1600000</v>
      </c>
      <c r="J18" s="18">
        <f t="shared" si="1"/>
        <v>146290266.87129432</v>
      </c>
      <c r="K18" s="18">
        <f>SUM($J$4:J18)</f>
        <v>1326965882.0668962</v>
      </c>
      <c r="L18" s="18">
        <f t="shared" si="2"/>
        <v>1326965882.0668962</v>
      </c>
      <c r="M18" s="18">
        <f>IF(AND(YEAR(B18)=YEAR(Вводные!$B$28),MONTH(B18)=MONTH(Вводные!$B$28)),L18,0)</f>
        <v>0</v>
      </c>
      <c r="N18" s="18">
        <f t="shared" si="3"/>
        <v>146290266.87129432</v>
      </c>
      <c r="O18" s="18">
        <f t="shared" si="4"/>
        <v>191439.8873660946</v>
      </c>
      <c r="P18" s="27">
        <f>IF(B18&lt;Вводные!$B$28,0,IF(AND(YEAR(B18)=YEAR(Вводные!$B$28),MONTH(B18)=MONTH(Вводные!$B$28)),M18,J18))</f>
        <v>0</v>
      </c>
    </row>
    <row r="19" spans="1:16" x14ac:dyDescent="0.25">
      <c r="A19" s="1">
        <v>16</v>
      </c>
      <c r="B19" s="23">
        <v>46508</v>
      </c>
      <c r="C19" s="1">
        <v>5</v>
      </c>
      <c r="D19" s="20">
        <f>IF($A19&lt;=Вводные!$B9,C19/SUMPRODUCT(($A$4:$A$39&lt;=Вводные!$B9)*$C$4:$C$39),0)</f>
        <v>9.6153846153846159E-2</v>
      </c>
      <c r="E19" s="21">
        <f>IF($A19&lt;=Вводные!$B9,Вводные!$B11*D19,0)</f>
        <v>755.80000000000007</v>
      </c>
      <c r="F19" s="18">
        <f>Вводные!$B13*(1+Вводные!$B15)^((A19-1)/12)</f>
        <v>192671.61736566373</v>
      </c>
      <c r="G19" s="18">
        <f t="shared" si="0"/>
        <v>145621208.40496865</v>
      </c>
      <c r="H19" s="21">
        <f>IF(AND($A19&gt;=MAX(1,Вводные!$B9-MIN(6,Вводные!$B9)+1),$A19&lt;=Вводные!$B9),Вводные!$B12/MIN(6,Вводные!$B9),0)</f>
        <v>1</v>
      </c>
      <c r="I19" s="18">
        <f>H19*Вводные!$B14</f>
        <v>1600000</v>
      </c>
      <c r="J19" s="18">
        <f t="shared" si="1"/>
        <v>147221208.40496865</v>
      </c>
      <c r="K19" s="18">
        <f>SUM($J$4:J19)</f>
        <v>1474187090.4718649</v>
      </c>
      <c r="L19" s="18">
        <f t="shared" si="2"/>
        <v>1474187090.4718649</v>
      </c>
      <c r="M19" s="18">
        <f>IF(AND(YEAR(B19)=YEAR(Вводные!$B$28),MONTH(B19)=MONTH(Вводные!$B$28)),L19,0)</f>
        <v>0</v>
      </c>
      <c r="N19" s="18">
        <f t="shared" si="3"/>
        <v>147221208.40496865</v>
      </c>
      <c r="O19" s="18">
        <f t="shared" si="4"/>
        <v>192671.61736566373</v>
      </c>
      <c r="P19" s="27">
        <f>IF(B19&lt;Вводные!$B$28,0,IF(AND(YEAR(B19)=YEAR(Вводные!$B$28),MONTH(B19)=MONTH(Вводные!$B$28)),M19,J19))</f>
        <v>0</v>
      </c>
    </row>
    <row r="20" spans="1:16" x14ac:dyDescent="0.25">
      <c r="A20" s="1">
        <v>17</v>
      </c>
      <c r="B20" s="23">
        <v>46539</v>
      </c>
      <c r="C20" s="1">
        <v>4</v>
      </c>
      <c r="D20" s="20">
        <f>IF($A20&lt;=Вводные!$B9,C20/SUMPRODUCT(($A$4:$A$39&lt;=Вводные!$B9)*$C$4:$C$39),0)</f>
        <v>0</v>
      </c>
      <c r="E20" s="21">
        <f>IF($A20&lt;=Вводные!$B9,Вводные!$B11*D20,0)</f>
        <v>0</v>
      </c>
      <c r="F20" s="18">
        <f>Вводные!$B13*(1+Вводные!$B15)^((A20-1)/12)</f>
        <v>193911.27235313744</v>
      </c>
      <c r="G20" s="18">
        <f t="shared" si="0"/>
        <v>0</v>
      </c>
      <c r="H20" s="21">
        <f>IF(AND($A20&gt;=MAX(1,Вводные!$B9-MIN(6,Вводные!$B9)+1),$A20&lt;=Вводные!$B9),Вводные!$B12/MIN(6,Вводные!$B9),0)</f>
        <v>0</v>
      </c>
      <c r="I20" s="18">
        <f>H20*Вводные!$B14</f>
        <v>0</v>
      </c>
      <c r="J20" s="18">
        <f t="shared" si="1"/>
        <v>0</v>
      </c>
      <c r="K20" s="18">
        <f>SUM($J$4:J20)</f>
        <v>1474187090.4718649</v>
      </c>
      <c r="L20" s="18">
        <f t="shared" si="2"/>
        <v>1474187090.4718649</v>
      </c>
      <c r="M20" s="18">
        <f>IF(AND(YEAR(B20)=YEAR(Вводные!$B$28),MONTH(B20)=MONTH(Вводные!$B$28)),L20,0)</f>
        <v>0</v>
      </c>
      <c r="N20" s="18">
        <f t="shared" si="3"/>
        <v>0</v>
      </c>
      <c r="O20" s="18">
        <f t="shared" si="4"/>
        <v>0</v>
      </c>
      <c r="P20" s="27">
        <f>IF(B20&lt;Вводные!$B$28,0,IF(AND(YEAR(B20)=YEAR(Вводные!$B$28),MONTH(B20)=MONTH(Вводные!$B$28)),M20,J20))</f>
        <v>0</v>
      </c>
    </row>
    <row r="21" spans="1:16" x14ac:dyDescent="0.25">
      <c r="A21" s="1">
        <v>18</v>
      </c>
      <c r="B21" s="23">
        <v>46569</v>
      </c>
      <c r="C21" s="1">
        <v>4</v>
      </c>
      <c r="D21" s="20">
        <f>IF($A21&lt;=Вводные!$B9,C21/SUMPRODUCT(($A$4:$A$39&lt;=Вводные!$B9)*$C$4:$C$39),0)</f>
        <v>0</v>
      </c>
      <c r="E21" s="21">
        <f>IF($A21&lt;=Вводные!$B9,Вводные!$B11*D21,0)</f>
        <v>0</v>
      </c>
      <c r="F21" s="18">
        <f>Вводные!$B13*(1+Вводные!$B15)^((A21-1)/12)</f>
        <v>195158.90331812663</v>
      </c>
      <c r="G21" s="18">
        <f t="shared" si="0"/>
        <v>0</v>
      </c>
      <c r="H21" s="21">
        <f>IF(AND($A21&gt;=MAX(1,Вводные!$B9-MIN(6,Вводные!$B9)+1),$A21&lt;=Вводные!$B9),Вводные!$B12/MIN(6,Вводные!$B9),0)</f>
        <v>0</v>
      </c>
      <c r="I21" s="18">
        <f>H21*Вводные!$B14</f>
        <v>0</v>
      </c>
      <c r="J21" s="18">
        <f t="shared" si="1"/>
        <v>0</v>
      </c>
      <c r="K21" s="18">
        <f>SUM($J$4:J21)</f>
        <v>1474187090.4718649</v>
      </c>
      <c r="L21" s="18">
        <f t="shared" si="2"/>
        <v>1474187090.4718649</v>
      </c>
      <c r="M21" s="18">
        <f>IF(AND(YEAR(B21)=YEAR(Вводные!$B$28),MONTH(B21)=MONTH(Вводные!$B$28)),L21,0)</f>
        <v>1474187090.4718649</v>
      </c>
      <c r="N21" s="18">
        <f t="shared" si="3"/>
        <v>0</v>
      </c>
      <c r="O21" s="18">
        <f t="shared" si="4"/>
        <v>0</v>
      </c>
      <c r="P21" s="27">
        <f>IF(B21&lt;Вводные!$B$28,0,IF(AND(YEAR(B21)=YEAR(Вводные!$B$28),MONTH(B21)=MONTH(Вводные!$B$28)),M21,J21))</f>
        <v>1474187090.4718649</v>
      </c>
    </row>
    <row r="22" spans="1:16" x14ac:dyDescent="0.25">
      <c r="A22" s="1">
        <v>19</v>
      </c>
      <c r="B22" s="23">
        <v>46600</v>
      </c>
      <c r="C22" s="1">
        <v>4</v>
      </c>
      <c r="D22" s="20">
        <f>IF($A22&lt;=Вводные!$B9,C22/SUMPRODUCT(($A$4:$A$39&lt;=Вводные!$B9)*$C$4:$C$39),0)</f>
        <v>0</v>
      </c>
      <c r="E22" s="21">
        <f>IF($A22&lt;=Вводные!$B9,Вводные!$B11*D22,0)</f>
        <v>0</v>
      </c>
      <c r="F22" s="18">
        <f>Вводные!$B13*(1+Вводные!$B15)^((A22-1)/12)</f>
        <v>196414.56157831071</v>
      </c>
      <c r="G22" s="18">
        <f t="shared" si="0"/>
        <v>0</v>
      </c>
      <c r="H22" s="21">
        <f>IF(AND($A22&gt;=MAX(1,Вводные!$B9-MIN(6,Вводные!$B9)+1),$A22&lt;=Вводные!$B9),Вводные!$B12/MIN(6,Вводные!$B9),0)</f>
        <v>0</v>
      </c>
      <c r="I22" s="18">
        <f>H22*Вводные!$B14</f>
        <v>0</v>
      </c>
      <c r="J22" s="18">
        <f t="shared" si="1"/>
        <v>0</v>
      </c>
      <c r="K22" s="18">
        <f>SUM($J$4:J22)</f>
        <v>1474187090.4718649</v>
      </c>
      <c r="L22" s="18">
        <f t="shared" si="2"/>
        <v>1474187090.4718649</v>
      </c>
      <c r="M22" s="18">
        <f>IF(AND(YEAR(B22)=YEAR(Вводные!$B$28),MONTH(B22)=MONTH(Вводные!$B$28)),L22,0)</f>
        <v>0</v>
      </c>
      <c r="N22" s="18">
        <f t="shared" si="3"/>
        <v>0</v>
      </c>
      <c r="O22" s="18">
        <f t="shared" si="4"/>
        <v>0</v>
      </c>
      <c r="P22" s="27">
        <f>IF(B22&lt;Вводные!$B$28,0,IF(AND(YEAR(B22)=YEAR(Вводные!$B$28),MONTH(B22)=MONTH(Вводные!$B$28)),M22,J22))</f>
        <v>0</v>
      </c>
    </row>
    <row r="23" spans="1:16" x14ac:dyDescent="0.25">
      <c r="A23" s="1">
        <v>20</v>
      </c>
      <c r="B23" s="23">
        <v>46631</v>
      </c>
      <c r="C23" s="1">
        <v>4</v>
      </c>
      <c r="D23" s="20">
        <f>IF($A23&lt;=Вводные!$B9,C23/SUMPRODUCT(($A$4:$A$39&lt;=Вводные!$B9)*$C$4:$C$39),0)</f>
        <v>0</v>
      </c>
      <c r="E23" s="21">
        <f>IF($A23&lt;=Вводные!$B9,Вводные!$B11*D23,0)</f>
        <v>0</v>
      </c>
      <c r="F23" s="18">
        <f>Вводные!$B13*(1+Вводные!$B15)^((A23-1)/12)</f>
        <v>197678.29878154868</v>
      </c>
      <c r="G23" s="18">
        <f t="shared" si="0"/>
        <v>0</v>
      </c>
      <c r="H23" s="21">
        <f>IF(AND($A23&gt;=MAX(1,Вводные!$B9-MIN(6,Вводные!$B9)+1),$A23&lt;=Вводные!$B9),Вводные!$B12/MIN(6,Вводные!$B9),0)</f>
        <v>0</v>
      </c>
      <c r="I23" s="18">
        <f>H23*Вводные!$B14</f>
        <v>0</v>
      </c>
      <c r="J23" s="18">
        <f t="shared" si="1"/>
        <v>0</v>
      </c>
      <c r="K23" s="18">
        <f>SUM($J$4:J23)</f>
        <v>1474187090.4718649</v>
      </c>
      <c r="L23" s="18">
        <f t="shared" si="2"/>
        <v>1474187090.4718649</v>
      </c>
      <c r="M23" s="18">
        <f>IF(AND(YEAR(B23)=YEAR(Вводные!$B$28),MONTH(B23)=MONTH(Вводные!$B$28)),L23,0)</f>
        <v>0</v>
      </c>
      <c r="N23" s="18">
        <f t="shared" si="3"/>
        <v>0</v>
      </c>
      <c r="O23" s="18">
        <f t="shared" si="4"/>
        <v>0</v>
      </c>
      <c r="P23" s="27">
        <f>IF(B23&lt;Вводные!$B$28,0,IF(AND(YEAR(B23)=YEAR(Вводные!$B$28),MONTH(B23)=MONTH(Вводные!$B$28)),M23,J23))</f>
        <v>0</v>
      </c>
    </row>
    <row r="24" spans="1:16" x14ac:dyDescent="0.25">
      <c r="A24" s="1">
        <v>21</v>
      </c>
      <c r="B24" s="23">
        <v>46661</v>
      </c>
      <c r="C24" s="1">
        <v>3</v>
      </c>
      <c r="D24" s="20">
        <f>IF($A24&lt;=Вводные!$B9,C24/SUMPRODUCT(($A$4:$A$39&lt;=Вводные!$B9)*$C$4:$C$39),0)</f>
        <v>0</v>
      </c>
      <c r="E24" s="21">
        <f>IF($A24&lt;=Вводные!$B9,Вводные!$B11*D24,0)</f>
        <v>0</v>
      </c>
      <c r="F24" s="18">
        <f>Вводные!$B13*(1+Вводные!$B15)^((A24-1)/12)</f>
        <v>198950.16690800342</v>
      </c>
      <c r="G24" s="18">
        <f t="shared" si="0"/>
        <v>0</v>
      </c>
      <c r="H24" s="21">
        <f>IF(AND($A24&gt;=MAX(1,Вводные!$B9-MIN(6,Вводные!$B9)+1),$A24&lt;=Вводные!$B9),Вводные!$B12/MIN(6,Вводные!$B9),0)</f>
        <v>0</v>
      </c>
      <c r="I24" s="18">
        <f>H24*Вводные!$B14</f>
        <v>0</v>
      </c>
      <c r="J24" s="18">
        <f t="shared" si="1"/>
        <v>0</v>
      </c>
      <c r="K24" s="18">
        <f>SUM($J$4:J24)</f>
        <v>1474187090.4718649</v>
      </c>
      <c r="L24" s="18">
        <f t="shared" si="2"/>
        <v>1474187090.4718649</v>
      </c>
      <c r="M24" s="18">
        <f>IF(AND(YEAR(B24)=YEAR(Вводные!$B$28),MONTH(B24)=MONTH(Вводные!$B$28)),L24,0)</f>
        <v>0</v>
      </c>
      <c r="N24" s="18">
        <f t="shared" si="3"/>
        <v>0</v>
      </c>
      <c r="O24" s="18">
        <f t="shared" si="4"/>
        <v>0</v>
      </c>
      <c r="P24" s="27">
        <f>IF(B24&lt;Вводные!$B$28,0,IF(AND(YEAR(B24)=YEAR(Вводные!$B$28),MONTH(B24)=MONTH(Вводные!$B$28)),M24,J24))</f>
        <v>0</v>
      </c>
    </row>
    <row r="25" spans="1:16" x14ac:dyDescent="0.25">
      <c r="A25" s="1">
        <v>22</v>
      </c>
      <c r="B25" s="23">
        <v>46692</v>
      </c>
      <c r="C25" s="1">
        <v>3</v>
      </c>
      <c r="D25" s="20">
        <f>IF($A25&lt;=Вводные!$B9,C25/SUMPRODUCT(($A$4:$A$39&lt;=Вводные!$B9)*$C$4:$C$39),0)</f>
        <v>0</v>
      </c>
      <c r="E25" s="21">
        <f>IF($A25&lt;=Вводные!$B9,Вводные!$B11*D25,0)</f>
        <v>0</v>
      </c>
      <c r="F25" s="18">
        <f>Вводные!$B13*(1+Вводные!$B15)^((A25-1)/12)</f>
        <v>200230.21827227972</v>
      </c>
      <c r="G25" s="18">
        <f t="shared" si="0"/>
        <v>0</v>
      </c>
      <c r="H25" s="21">
        <f>IF(AND($A25&gt;=MAX(1,Вводные!$B9-MIN(6,Вводные!$B9)+1),$A25&lt;=Вводные!$B9),Вводные!$B12/MIN(6,Вводные!$B9),0)</f>
        <v>0</v>
      </c>
      <c r="I25" s="18">
        <f>H25*Вводные!$B14</f>
        <v>0</v>
      </c>
      <c r="J25" s="18">
        <f t="shared" si="1"/>
        <v>0</v>
      </c>
      <c r="K25" s="18">
        <f>SUM($J$4:J25)</f>
        <v>1474187090.4718649</v>
      </c>
      <c r="L25" s="18">
        <f t="shared" si="2"/>
        <v>1474187090.4718649</v>
      </c>
      <c r="M25" s="18">
        <f>IF(AND(YEAR(B25)=YEAR(Вводные!$B$28),MONTH(B25)=MONTH(Вводные!$B$28)),L25,0)</f>
        <v>0</v>
      </c>
      <c r="N25" s="18">
        <f t="shared" si="3"/>
        <v>0</v>
      </c>
      <c r="O25" s="18">
        <f t="shared" si="4"/>
        <v>0</v>
      </c>
      <c r="P25" s="27">
        <f>IF(B25&lt;Вводные!$B$28,0,IF(AND(YEAR(B25)=YEAR(Вводные!$B$28),MONTH(B25)=MONTH(Вводные!$B$28)),M25,J25))</f>
        <v>0</v>
      </c>
    </row>
    <row r="26" spans="1:16" x14ac:dyDescent="0.25">
      <c r="A26" s="1">
        <v>23</v>
      </c>
      <c r="B26" s="23">
        <v>46722</v>
      </c>
      <c r="C26" s="1">
        <v>3</v>
      </c>
      <c r="D26" s="20">
        <f>IF($A26&lt;=Вводные!$B9,C26/SUMPRODUCT(($A$4:$A$39&lt;=Вводные!$B9)*$C$4:$C$39),0)</f>
        <v>0</v>
      </c>
      <c r="E26" s="21">
        <f>IF($A26&lt;=Вводные!$B9,Вводные!$B11*D26,0)</f>
        <v>0</v>
      </c>
      <c r="F26" s="18">
        <f>Вводные!$B13*(1+Вводные!$B15)^((A26-1)/12)</f>
        <v>201518.50552557618</v>
      </c>
      <c r="G26" s="18">
        <f t="shared" si="0"/>
        <v>0</v>
      </c>
      <c r="H26" s="21">
        <f>IF(AND($A26&gt;=MAX(1,Вводные!$B9-MIN(6,Вводные!$B9)+1),$A26&lt;=Вводные!$B9),Вводные!$B12/MIN(6,Вводные!$B9),0)</f>
        <v>0</v>
      </c>
      <c r="I26" s="18">
        <f>H26*Вводные!$B14</f>
        <v>0</v>
      </c>
      <c r="J26" s="18">
        <f t="shared" si="1"/>
        <v>0</v>
      </c>
      <c r="K26" s="18">
        <f>SUM($J$4:J26)</f>
        <v>1474187090.4718649</v>
      </c>
      <c r="L26" s="18">
        <f t="shared" si="2"/>
        <v>1474187090.4718649</v>
      </c>
      <c r="M26" s="18">
        <f>IF(AND(YEAR(B26)=YEAR(Вводные!$B$28),MONTH(B26)=MONTH(Вводные!$B$28)),L26,0)</f>
        <v>0</v>
      </c>
      <c r="N26" s="18">
        <f t="shared" si="3"/>
        <v>0</v>
      </c>
      <c r="O26" s="18">
        <f t="shared" si="4"/>
        <v>0</v>
      </c>
      <c r="P26" s="27">
        <f>IF(B26&lt;Вводные!$B$28,0,IF(AND(YEAR(B26)=YEAR(Вводные!$B$28),MONTH(B26)=MONTH(Вводные!$B$28)),M26,J26))</f>
        <v>0</v>
      </c>
    </row>
    <row r="27" spans="1:16" x14ac:dyDescent="0.25">
      <c r="A27" s="1">
        <v>24</v>
      </c>
      <c r="B27" s="23">
        <v>46753</v>
      </c>
      <c r="C27" s="1">
        <v>2</v>
      </c>
      <c r="D27" s="20">
        <f>IF($A27&lt;=Вводные!$B9,C27/SUMPRODUCT(($A$4:$A$39&lt;=Вводные!$B9)*$C$4:$C$39),0)</f>
        <v>0</v>
      </c>
      <c r="E27" s="21">
        <f>IF($A27&lt;=Вводные!$B9,Вводные!$B11*D27,0)</f>
        <v>0</v>
      </c>
      <c r="F27" s="18">
        <f>Вводные!$B13*(1+Вводные!$B15)^((A27-1)/12)</f>
        <v>202815.08165785062</v>
      </c>
      <c r="G27" s="18">
        <f t="shared" si="0"/>
        <v>0</v>
      </c>
      <c r="H27" s="21">
        <f>IF(AND($A27&gt;=MAX(1,Вводные!$B9-MIN(6,Вводные!$B9)+1),$A27&lt;=Вводные!$B9),Вводные!$B12/MIN(6,Вводные!$B9),0)</f>
        <v>0</v>
      </c>
      <c r="I27" s="18">
        <f>H27*Вводные!$B14</f>
        <v>0</v>
      </c>
      <c r="J27" s="18">
        <f t="shared" si="1"/>
        <v>0</v>
      </c>
      <c r="K27" s="18">
        <f>SUM($J$4:J27)</f>
        <v>1474187090.4718649</v>
      </c>
      <c r="L27" s="18">
        <f t="shared" si="2"/>
        <v>1474187090.4718649</v>
      </c>
      <c r="M27" s="18">
        <f>IF(AND(YEAR(B27)=YEAR(Вводные!$B$28),MONTH(B27)=MONTH(Вводные!$B$28)),L27,0)</f>
        <v>0</v>
      </c>
      <c r="N27" s="18">
        <f t="shared" si="3"/>
        <v>0</v>
      </c>
      <c r="O27" s="18">
        <f t="shared" si="4"/>
        <v>0</v>
      </c>
      <c r="P27" s="27">
        <f>IF(B27&lt;Вводные!$B$28,0,IF(AND(YEAR(B27)=YEAR(Вводные!$B$28),MONTH(B27)=MONTH(Вводные!$B$28)),M27,J27))</f>
        <v>0</v>
      </c>
    </row>
    <row r="28" spans="1:16" x14ac:dyDescent="0.25">
      <c r="A28" s="1">
        <v>25</v>
      </c>
      <c r="B28" s="23">
        <v>46784</v>
      </c>
      <c r="C28" s="1">
        <v>2</v>
      </c>
      <c r="D28" s="20">
        <f>IF($A28&lt;=Вводные!$B9,C28/SUMPRODUCT(($A$4:$A$39&lt;=Вводные!$B9)*$C$4:$C$39),0)</f>
        <v>0</v>
      </c>
      <c r="E28" s="21">
        <f>IF($A28&lt;=Вводные!$B9,Вводные!$B11*D28,0)</f>
        <v>0</v>
      </c>
      <c r="F28" s="18">
        <f>Вводные!$B13*(1+Вводные!$B15)^((A28-1)/12)</f>
        <v>204120.00000000003</v>
      </c>
      <c r="G28" s="18">
        <f t="shared" si="0"/>
        <v>0</v>
      </c>
      <c r="H28" s="21">
        <f>IF(AND($A28&gt;=MAX(1,Вводные!$B9-MIN(6,Вводные!$B9)+1),$A28&lt;=Вводные!$B9),Вводные!$B12/MIN(6,Вводные!$B9),0)</f>
        <v>0</v>
      </c>
      <c r="I28" s="18">
        <f>H28*Вводные!$B14</f>
        <v>0</v>
      </c>
      <c r="J28" s="18">
        <f t="shared" si="1"/>
        <v>0</v>
      </c>
      <c r="K28" s="18">
        <f>SUM($J$4:J28)</f>
        <v>1474187090.4718649</v>
      </c>
      <c r="L28" s="18">
        <f t="shared" si="2"/>
        <v>1474187090.4718649</v>
      </c>
      <c r="M28" s="18">
        <f>IF(AND(YEAR(B28)=YEAR(Вводные!$B$28),MONTH(B28)=MONTH(Вводные!$B$28)),L28,0)</f>
        <v>0</v>
      </c>
      <c r="N28" s="18">
        <f t="shared" si="3"/>
        <v>0</v>
      </c>
      <c r="O28" s="18">
        <f t="shared" si="4"/>
        <v>0</v>
      </c>
      <c r="P28" s="27">
        <f>IF(B28&lt;Вводные!$B$28,0,IF(AND(YEAR(B28)=YEAR(Вводные!$B$28),MONTH(B28)=MONTH(Вводные!$B$28)),M28,J28))</f>
        <v>0</v>
      </c>
    </row>
    <row r="29" spans="1:16" x14ac:dyDescent="0.25">
      <c r="A29" s="1">
        <v>26</v>
      </c>
      <c r="B29" s="23">
        <v>46813</v>
      </c>
      <c r="C29" s="1">
        <v>2</v>
      </c>
      <c r="D29" s="20">
        <f>IF($A29&lt;=Вводные!$B9,C29/SUMPRODUCT(($A$4:$A$39&lt;=Вводные!$B9)*$C$4:$C$39),0)</f>
        <v>0</v>
      </c>
      <c r="E29" s="21">
        <f>IF($A29&lt;=Вводные!$B9,Вводные!$B11*D29,0)</f>
        <v>0</v>
      </c>
      <c r="F29" s="18">
        <f>Вводные!$B13*(1+Вводные!$B15)^((A29-1)/12)</f>
        <v>205433.31422605395</v>
      </c>
      <c r="G29" s="18">
        <f t="shared" si="0"/>
        <v>0</v>
      </c>
      <c r="H29" s="21">
        <f>IF(AND($A29&gt;=MAX(1,Вводные!$B9-MIN(6,Вводные!$B9)+1),$A29&lt;=Вводные!$B9),Вводные!$B12/MIN(6,Вводные!$B9),0)</f>
        <v>0</v>
      </c>
      <c r="I29" s="18">
        <f>H29*Вводные!$B14</f>
        <v>0</v>
      </c>
      <c r="J29" s="18">
        <f t="shared" si="1"/>
        <v>0</v>
      </c>
      <c r="K29" s="18">
        <f>SUM($J$4:J29)</f>
        <v>1474187090.4718649</v>
      </c>
      <c r="L29" s="18">
        <f t="shared" si="2"/>
        <v>1474187090.4718649</v>
      </c>
      <c r="M29" s="18">
        <f>IF(AND(YEAR(B29)=YEAR(Вводные!$B$28),MONTH(B29)=MONTH(Вводные!$B$28)),L29,0)</f>
        <v>0</v>
      </c>
      <c r="N29" s="18">
        <f t="shared" si="3"/>
        <v>0</v>
      </c>
      <c r="O29" s="18">
        <f t="shared" si="4"/>
        <v>0</v>
      </c>
      <c r="P29" s="27">
        <f>IF(B29&lt;Вводные!$B$28,0,IF(AND(YEAR(B29)=YEAR(Вводные!$B$28),MONTH(B29)=MONTH(Вводные!$B$28)),M29,J29))</f>
        <v>0</v>
      </c>
    </row>
    <row r="30" spans="1:16" x14ac:dyDescent="0.25">
      <c r="A30" s="1">
        <v>27</v>
      </c>
      <c r="B30" s="23">
        <v>46844</v>
      </c>
      <c r="C30" s="1">
        <v>1</v>
      </c>
      <c r="D30" s="20">
        <f>IF($A30&lt;=Вводные!$B9,C30/SUMPRODUCT(($A$4:$A$39&lt;=Вводные!$B9)*$C$4:$C$39),0)</f>
        <v>0</v>
      </c>
      <c r="E30" s="21">
        <f>IF($A30&lt;=Вводные!$B9,Вводные!$B11*D30,0)</f>
        <v>0</v>
      </c>
      <c r="F30" s="18">
        <f>Вводные!$B13*(1+Вводные!$B15)^((A30-1)/12)</f>
        <v>206755.07835538217</v>
      </c>
      <c r="G30" s="18">
        <f t="shared" si="0"/>
        <v>0</v>
      </c>
      <c r="H30" s="21">
        <f>IF(AND($A30&gt;=MAX(1,Вводные!$B9-MIN(6,Вводные!$B9)+1),$A30&lt;=Вводные!$B9),Вводные!$B12/MIN(6,Вводные!$B9),0)</f>
        <v>0</v>
      </c>
      <c r="I30" s="18">
        <f>H30*Вводные!$B14</f>
        <v>0</v>
      </c>
      <c r="J30" s="18">
        <f t="shared" si="1"/>
        <v>0</v>
      </c>
      <c r="K30" s="18">
        <f>SUM($J$4:J30)</f>
        <v>1474187090.4718649</v>
      </c>
      <c r="L30" s="18">
        <f t="shared" si="2"/>
        <v>1474187090.4718649</v>
      </c>
      <c r="M30" s="18">
        <f>IF(AND(YEAR(B30)=YEAR(Вводные!$B$28),MONTH(B30)=MONTH(Вводные!$B$28)),L30,0)</f>
        <v>0</v>
      </c>
      <c r="N30" s="18">
        <f t="shared" si="3"/>
        <v>0</v>
      </c>
      <c r="O30" s="18">
        <f t="shared" si="4"/>
        <v>0</v>
      </c>
      <c r="P30" s="27">
        <f>IF(B30&lt;Вводные!$B$28,0,IF(AND(YEAR(B30)=YEAR(Вводные!$B$28),MONTH(B30)=MONTH(Вводные!$B$28)),M30,J30))</f>
        <v>0</v>
      </c>
    </row>
    <row r="31" spans="1:16" x14ac:dyDescent="0.25">
      <c r="A31" s="1">
        <v>28</v>
      </c>
      <c r="B31" s="23">
        <v>46874</v>
      </c>
      <c r="C31" s="1">
        <v>1</v>
      </c>
      <c r="D31" s="20">
        <f>IF($A31&lt;=Вводные!$B9,C31/SUMPRODUCT(($A$4:$A$39&lt;=Вводные!$B9)*$C$4:$C$39),0)</f>
        <v>0</v>
      </c>
      <c r="E31" s="21">
        <f>IF($A31&lt;=Вводные!$B9,Вводные!$B11*D31,0)</f>
        <v>0</v>
      </c>
      <c r="F31" s="18">
        <f>Вводные!$B13*(1+Вводные!$B15)^((A31-1)/12)</f>
        <v>208085.34675491683</v>
      </c>
      <c r="G31" s="18">
        <f t="shared" si="0"/>
        <v>0</v>
      </c>
      <c r="H31" s="21">
        <f>IF(AND($A31&gt;=MAX(1,Вводные!$B9-MIN(6,Вводные!$B9)+1),$A31&lt;=Вводные!$B9),Вводные!$B12/MIN(6,Вводные!$B9),0)</f>
        <v>0</v>
      </c>
      <c r="I31" s="18">
        <f>H31*Вводные!$B14</f>
        <v>0</v>
      </c>
      <c r="J31" s="18">
        <f t="shared" si="1"/>
        <v>0</v>
      </c>
      <c r="K31" s="18">
        <f>SUM($J$4:J31)</f>
        <v>1474187090.4718649</v>
      </c>
      <c r="L31" s="18">
        <f t="shared" si="2"/>
        <v>1474187090.4718649</v>
      </c>
      <c r="M31" s="18">
        <f>IF(AND(YEAR(B31)=YEAR(Вводные!$B$28),MONTH(B31)=MONTH(Вводные!$B$28)),L31,0)</f>
        <v>0</v>
      </c>
      <c r="N31" s="18">
        <f t="shared" si="3"/>
        <v>0</v>
      </c>
      <c r="O31" s="18">
        <f t="shared" si="4"/>
        <v>0</v>
      </c>
      <c r="P31" s="27">
        <f>IF(B31&lt;Вводные!$B$28,0,IF(AND(YEAR(B31)=YEAR(Вводные!$B$28),MONTH(B31)=MONTH(Вводные!$B$28)),M31,J31))</f>
        <v>0</v>
      </c>
    </row>
    <row r="32" spans="1:16" x14ac:dyDescent="0.25">
      <c r="A32" s="1">
        <v>29</v>
      </c>
      <c r="B32" s="23">
        <v>46905</v>
      </c>
      <c r="C32" s="1">
        <v>1</v>
      </c>
      <c r="D32" s="20">
        <f>IF($A32&lt;=Вводные!$B9,C32/SUMPRODUCT(($A$4:$A$39&lt;=Вводные!$B9)*$C$4:$C$39),0)</f>
        <v>0</v>
      </c>
      <c r="E32" s="21">
        <f>IF($A32&lt;=Вводные!$B9,Вводные!$B11*D32,0)</f>
        <v>0</v>
      </c>
      <c r="F32" s="18">
        <f>Вводные!$B13*(1+Вводные!$B15)^((A32-1)/12)</f>
        <v>209424.17414138847</v>
      </c>
      <c r="G32" s="18">
        <f t="shared" si="0"/>
        <v>0</v>
      </c>
      <c r="H32" s="21">
        <f>IF(AND($A32&gt;=MAX(1,Вводные!$B9-MIN(6,Вводные!$B9)+1),$A32&lt;=Вводные!$B9),Вводные!$B12/MIN(6,Вводные!$B9),0)</f>
        <v>0</v>
      </c>
      <c r="I32" s="18">
        <f>H32*Вводные!$B14</f>
        <v>0</v>
      </c>
      <c r="J32" s="18">
        <f t="shared" si="1"/>
        <v>0</v>
      </c>
      <c r="K32" s="18">
        <f>SUM($J$4:J32)</f>
        <v>1474187090.4718649</v>
      </c>
      <c r="L32" s="18">
        <f t="shared" si="2"/>
        <v>1474187090.4718649</v>
      </c>
      <c r="M32" s="18">
        <f>IF(AND(YEAR(B32)=YEAR(Вводные!$B$28),MONTH(B32)=MONTH(Вводные!$B$28)),L32,0)</f>
        <v>0</v>
      </c>
      <c r="N32" s="18">
        <f t="shared" si="3"/>
        <v>0</v>
      </c>
      <c r="O32" s="18">
        <f t="shared" si="4"/>
        <v>0</v>
      </c>
      <c r="P32" s="27">
        <f>IF(B32&lt;Вводные!$B$28,0,IF(AND(YEAR(B32)=YEAR(Вводные!$B$28),MONTH(B32)=MONTH(Вводные!$B$28)),M32,J32))</f>
        <v>0</v>
      </c>
    </row>
    <row r="33" spans="1:16" x14ac:dyDescent="0.25">
      <c r="A33" s="1">
        <v>30</v>
      </c>
      <c r="B33" s="23">
        <v>46935</v>
      </c>
      <c r="C33" s="1">
        <v>1</v>
      </c>
      <c r="D33" s="20">
        <f>IF($A33&lt;=Вводные!$B9,C33/SUMPRODUCT(($A$4:$A$39&lt;=Вводные!$B9)*$C$4:$C$39),0)</f>
        <v>0</v>
      </c>
      <c r="E33" s="21">
        <f>IF($A33&lt;=Вводные!$B9,Вводные!$B11*D33,0)</f>
        <v>0</v>
      </c>
      <c r="F33" s="18">
        <f>Вводные!$B13*(1+Вводные!$B15)^((A33-1)/12)</f>
        <v>210771.61558357679</v>
      </c>
      <c r="G33" s="18">
        <f t="shared" si="0"/>
        <v>0</v>
      </c>
      <c r="H33" s="21">
        <f>IF(AND($A33&gt;=MAX(1,Вводные!$B9-MIN(6,Вводные!$B9)+1),$A33&lt;=Вводные!$B9),Вводные!$B12/MIN(6,Вводные!$B9),0)</f>
        <v>0</v>
      </c>
      <c r="I33" s="18">
        <f>H33*Вводные!$B14</f>
        <v>0</v>
      </c>
      <c r="J33" s="18">
        <f t="shared" si="1"/>
        <v>0</v>
      </c>
      <c r="K33" s="18">
        <f>SUM($J$4:J33)</f>
        <v>1474187090.4718649</v>
      </c>
      <c r="L33" s="18">
        <f t="shared" si="2"/>
        <v>1474187090.4718649</v>
      </c>
      <c r="M33" s="18">
        <f>IF(AND(YEAR(B33)=YEAR(Вводные!$B$28),MONTH(B33)=MONTH(Вводные!$B$28)),L33,0)</f>
        <v>0</v>
      </c>
      <c r="N33" s="18">
        <f t="shared" si="3"/>
        <v>0</v>
      </c>
      <c r="O33" s="18">
        <f t="shared" si="4"/>
        <v>0</v>
      </c>
      <c r="P33" s="27">
        <f>IF(B33&lt;Вводные!$B$28,0,IF(AND(YEAR(B33)=YEAR(Вводные!$B$28),MONTH(B33)=MONTH(Вводные!$B$28)),M33,J33))</f>
        <v>0</v>
      </c>
    </row>
    <row r="34" spans="1:16" x14ac:dyDescent="0.25">
      <c r="A34" s="1">
        <v>31</v>
      </c>
      <c r="B34" s="23">
        <v>46966</v>
      </c>
      <c r="C34" s="1">
        <v>0</v>
      </c>
      <c r="D34" s="20">
        <f>IF($A34&lt;=Вводные!$B9,C34/SUMPRODUCT(($A$4:$A$39&lt;=Вводные!$B9)*$C$4:$C$39),0)</f>
        <v>0</v>
      </c>
      <c r="E34" s="21">
        <f>IF($A34&lt;=Вводные!$B9,Вводные!$B11*D34,0)</f>
        <v>0</v>
      </c>
      <c r="F34" s="18">
        <f>Вводные!$B13*(1+Вводные!$B15)^((A34-1)/12)</f>
        <v>212127.72650457558</v>
      </c>
      <c r="G34" s="18">
        <f t="shared" si="0"/>
        <v>0</v>
      </c>
      <c r="H34" s="21">
        <f>IF(AND($A34&gt;=MAX(1,Вводные!$B9-MIN(6,Вводные!$B9)+1),$A34&lt;=Вводные!$B9),Вводные!$B12/MIN(6,Вводные!$B9),0)</f>
        <v>0</v>
      </c>
      <c r="I34" s="18">
        <f>H34*Вводные!$B14</f>
        <v>0</v>
      </c>
      <c r="J34" s="18">
        <f t="shared" si="1"/>
        <v>0</v>
      </c>
      <c r="K34" s="18">
        <f>SUM($J$4:J34)</f>
        <v>1474187090.4718649</v>
      </c>
      <c r="L34" s="18">
        <f t="shared" si="2"/>
        <v>1474187090.4718649</v>
      </c>
      <c r="M34" s="18">
        <f>IF(AND(YEAR(B34)=YEAR(Вводные!$B$28),MONTH(B34)=MONTH(Вводные!$B$28)),L34,0)</f>
        <v>0</v>
      </c>
      <c r="N34" s="18">
        <f t="shared" si="3"/>
        <v>0</v>
      </c>
      <c r="O34" s="18">
        <f t="shared" si="4"/>
        <v>0</v>
      </c>
      <c r="P34" s="27">
        <f>IF(B34&lt;Вводные!$B$28,0,IF(AND(YEAR(B34)=YEAR(Вводные!$B$28),MONTH(B34)=MONTH(Вводные!$B$28)),M34,J34))</f>
        <v>0</v>
      </c>
    </row>
    <row r="35" spans="1:16" x14ac:dyDescent="0.25">
      <c r="A35" s="1">
        <v>32</v>
      </c>
      <c r="B35" s="23">
        <v>46997</v>
      </c>
      <c r="C35" s="1">
        <v>0</v>
      </c>
      <c r="D35" s="20">
        <f>IF($A35&lt;=Вводные!$B9,C35/SUMPRODUCT(($A$4:$A$39&lt;=Вводные!$B9)*$C$4:$C$39),0)</f>
        <v>0</v>
      </c>
      <c r="E35" s="21">
        <f>IF($A35&lt;=Вводные!$B9,Вводные!$B11*D35,0)</f>
        <v>0</v>
      </c>
      <c r="F35" s="18">
        <f>Вводные!$B13*(1+Вводные!$B15)^((A35-1)/12)</f>
        <v>213492.56268407259</v>
      </c>
      <c r="G35" s="18">
        <f t="shared" si="0"/>
        <v>0</v>
      </c>
      <c r="H35" s="21">
        <f>IF(AND($A35&gt;=MAX(1,Вводные!$B9-MIN(6,Вводные!$B9)+1),$A35&lt;=Вводные!$B9),Вводные!$B12/MIN(6,Вводные!$B9),0)</f>
        <v>0</v>
      </c>
      <c r="I35" s="18">
        <f>H35*Вводные!$B14</f>
        <v>0</v>
      </c>
      <c r="J35" s="18">
        <f t="shared" si="1"/>
        <v>0</v>
      </c>
      <c r="K35" s="18">
        <f>SUM($J$4:J35)</f>
        <v>1474187090.4718649</v>
      </c>
      <c r="L35" s="18">
        <f t="shared" si="2"/>
        <v>1474187090.4718649</v>
      </c>
      <c r="M35" s="18">
        <f>IF(AND(YEAR(B35)=YEAR(Вводные!$B$28),MONTH(B35)=MONTH(Вводные!$B$28)),L35,0)</f>
        <v>0</v>
      </c>
      <c r="N35" s="18">
        <f t="shared" si="3"/>
        <v>0</v>
      </c>
      <c r="O35" s="18">
        <f t="shared" si="4"/>
        <v>0</v>
      </c>
      <c r="P35" s="27">
        <f>IF(B35&lt;Вводные!$B$28,0,IF(AND(YEAR(B35)=YEAR(Вводные!$B$28),MONTH(B35)=MONTH(Вводные!$B$28)),M35,J35))</f>
        <v>0</v>
      </c>
    </row>
    <row r="36" spans="1:16" x14ac:dyDescent="0.25">
      <c r="A36" s="1">
        <v>33</v>
      </c>
      <c r="B36" s="23">
        <v>47027</v>
      </c>
      <c r="C36" s="1">
        <v>0</v>
      </c>
      <c r="D36" s="20">
        <f>IF($A36&lt;=Вводные!$B9,C36/SUMPRODUCT(($A$4:$A$39&lt;=Вводные!$B9)*$C$4:$C$39),0)</f>
        <v>0</v>
      </c>
      <c r="E36" s="21">
        <f>IF($A36&lt;=Вводные!$B9,Вводные!$B11*D36,0)</f>
        <v>0</v>
      </c>
      <c r="F36" s="18">
        <f>Вводные!$B13*(1+Вводные!$B15)^((A36-1)/12)</f>
        <v>214866.18026064371</v>
      </c>
      <c r="G36" s="18">
        <f t="shared" si="0"/>
        <v>0</v>
      </c>
      <c r="H36" s="21">
        <f>IF(AND($A36&gt;=MAX(1,Вводные!$B9-MIN(6,Вводные!$B9)+1),$A36&lt;=Вводные!$B9),Вводные!$B12/MIN(6,Вводные!$B9),0)</f>
        <v>0</v>
      </c>
      <c r="I36" s="18">
        <f>H36*Вводные!$B14</f>
        <v>0</v>
      </c>
      <c r="J36" s="18">
        <f t="shared" si="1"/>
        <v>0</v>
      </c>
      <c r="K36" s="18">
        <f>SUM($J$4:J36)</f>
        <v>1474187090.4718649</v>
      </c>
      <c r="L36" s="18">
        <f t="shared" si="2"/>
        <v>1474187090.4718649</v>
      </c>
      <c r="M36" s="18">
        <f>IF(AND(YEAR(B36)=YEAR(Вводные!$B$28),MONTH(B36)=MONTH(Вводные!$B$28)),L36,0)</f>
        <v>0</v>
      </c>
      <c r="N36" s="18">
        <f t="shared" si="3"/>
        <v>0</v>
      </c>
      <c r="O36" s="18">
        <f t="shared" si="4"/>
        <v>0</v>
      </c>
      <c r="P36" s="27">
        <f>IF(B36&lt;Вводные!$B$28,0,IF(AND(YEAR(B36)=YEAR(Вводные!$B$28),MONTH(B36)=MONTH(Вводные!$B$28)),M36,J36))</f>
        <v>0</v>
      </c>
    </row>
    <row r="37" spans="1:16" x14ac:dyDescent="0.25">
      <c r="A37" s="1">
        <v>34</v>
      </c>
      <c r="B37" s="23">
        <v>47058</v>
      </c>
      <c r="C37" s="1">
        <v>0</v>
      </c>
      <c r="D37" s="20">
        <f>IF($A37&lt;=Вводные!$B9,C37/SUMPRODUCT(($A$4:$A$39&lt;=Вводные!$B9)*$C$4:$C$39),0)</f>
        <v>0</v>
      </c>
      <c r="E37" s="21">
        <f>IF($A37&lt;=Вводные!$B9,Вводные!$B11*D37,0)</f>
        <v>0</v>
      </c>
      <c r="F37" s="18">
        <f>Вводные!$B13*(1+Вводные!$B15)^((A37-1)/12)</f>
        <v>216248.63573406215</v>
      </c>
      <c r="G37" s="18">
        <f t="shared" si="0"/>
        <v>0</v>
      </c>
      <c r="H37" s="21">
        <f>IF(AND($A37&gt;=MAX(1,Вводные!$B9-MIN(6,Вводные!$B9)+1),$A37&lt;=Вводные!$B9),Вводные!$B12/MIN(6,Вводные!$B9),0)</f>
        <v>0</v>
      </c>
      <c r="I37" s="18">
        <f>H37*Вводные!$B14</f>
        <v>0</v>
      </c>
      <c r="J37" s="18">
        <f t="shared" si="1"/>
        <v>0</v>
      </c>
      <c r="K37" s="18">
        <f>SUM($J$4:J37)</f>
        <v>1474187090.4718649</v>
      </c>
      <c r="L37" s="18">
        <f t="shared" si="2"/>
        <v>1474187090.4718649</v>
      </c>
      <c r="M37" s="18">
        <f>IF(AND(YEAR(B37)=YEAR(Вводные!$B$28),MONTH(B37)=MONTH(Вводные!$B$28)),L37,0)</f>
        <v>0</v>
      </c>
      <c r="N37" s="18">
        <f t="shared" si="3"/>
        <v>0</v>
      </c>
      <c r="O37" s="18">
        <f t="shared" si="4"/>
        <v>0</v>
      </c>
      <c r="P37" s="27">
        <f>IF(B37&lt;Вводные!$B$28,0,IF(AND(YEAR(B37)=YEAR(Вводные!$B$28),MONTH(B37)=MONTH(Вводные!$B$28)),M37,J37))</f>
        <v>0</v>
      </c>
    </row>
    <row r="38" spans="1:16" x14ac:dyDescent="0.25">
      <c r="A38" s="1">
        <v>35</v>
      </c>
      <c r="B38" s="23">
        <v>47088</v>
      </c>
      <c r="C38" s="1">
        <v>0</v>
      </c>
      <c r="D38" s="20">
        <f>IF($A38&lt;=Вводные!$B9,C38/SUMPRODUCT(($A$4:$A$39&lt;=Вводные!$B9)*$C$4:$C$39),0)</f>
        <v>0</v>
      </c>
      <c r="E38" s="21">
        <f>IF($A38&lt;=Вводные!$B9,Вводные!$B11*D38,0)</f>
        <v>0</v>
      </c>
      <c r="F38" s="18">
        <f>Вводные!$B13*(1+Вводные!$B15)^((A38-1)/12)</f>
        <v>217639.98596762228</v>
      </c>
      <c r="G38" s="18">
        <f t="shared" si="0"/>
        <v>0</v>
      </c>
      <c r="H38" s="21">
        <f>IF(AND($A38&gt;=MAX(1,Вводные!$B9-MIN(6,Вводные!$B9)+1),$A38&lt;=Вводные!$B9),Вводные!$B12/MIN(6,Вводные!$B9),0)</f>
        <v>0</v>
      </c>
      <c r="I38" s="18">
        <f>H38*Вводные!$B14</f>
        <v>0</v>
      </c>
      <c r="J38" s="18">
        <f t="shared" si="1"/>
        <v>0</v>
      </c>
      <c r="K38" s="18">
        <f>SUM($J$4:J38)</f>
        <v>1474187090.4718649</v>
      </c>
      <c r="L38" s="18">
        <f t="shared" si="2"/>
        <v>1474187090.4718649</v>
      </c>
      <c r="M38" s="18">
        <f>IF(AND(YEAR(B38)=YEAR(Вводные!$B$28),MONTH(B38)=MONTH(Вводные!$B$28)),L38,0)</f>
        <v>0</v>
      </c>
      <c r="N38" s="18">
        <f t="shared" si="3"/>
        <v>0</v>
      </c>
      <c r="O38" s="18">
        <f t="shared" si="4"/>
        <v>0</v>
      </c>
      <c r="P38" s="27">
        <f>IF(B38&lt;Вводные!$B$28,0,IF(AND(YEAR(B38)=YEAR(Вводные!$B$28),MONTH(B38)=MONTH(Вводные!$B$28)),M38,J38))</f>
        <v>0</v>
      </c>
    </row>
    <row r="39" spans="1:16" x14ac:dyDescent="0.25">
      <c r="A39" s="1">
        <v>36</v>
      </c>
      <c r="B39" s="23">
        <v>47119</v>
      </c>
      <c r="C39" s="1">
        <v>0</v>
      </c>
      <c r="D39" s="20">
        <f>IF($A39&lt;=Вводные!$B9,C39/SUMPRODUCT(($A$4:$A$39&lt;=Вводные!$B9)*$C$4:$C$39),0)</f>
        <v>0</v>
      </c>
      <c r="E39" s="21">
        <f>IF($A39&lt;=Вводные!$B9,Вводные!$B11*D39,0)</f>
        <v>0</v>
      </c>
      <c r="F39" s="18">
        <f>Вводные!$B13*(1+Вводные!$B15)^((A39-1)/12)</f>
        <v>219040.28819047866</v>
      </c>
      <c r="G39" s="18">
        <f t="shared" si="0"/>
        <v>0</v>
      </c>
      <c r="H39" s="21">
        <f>IF(AND($A39&gt;=MAX(1,Вводные!$B9-MIN(6,Вводные!$B9)+1),$A39&lt;=Вводные!$B9),Вводные!$B12/MIN(6,Вводные!$B9),0)</f>
        <v>0</v>
      </c>
      <c r="I39" s="18">
        <f>H39*Вводные!$B14</f>
        <v>0</v>
      </c>
      <c r="J39" s="18">
        <f t="shared" si="1"/>
        <v>0</v>
      </c>
      <c r="K39" s="18">
        <f>SUM($J$4:J39)</f>
        <v>1474187090.4718649</v>
      </c>
      <c r="L39" s="18">
        <f t="shared" si="2"/>
        <v>1474187090.4718649</v>
      </c>
      <c r="M39" s="18">
        <f>IF(AND(YEAR(B39)=YEAR(Вводные!$B$28),MONTH(B39)=MONTH(Вводные!$B$28)),L39,0)</f>
        <v>0</v>
      </c>
      <c r="N39" s="18">
        <f t="shared" si="3"/>
        <v>0</v>
      </c>
      <c r="O39" s="18">
        <f t="shared" si="4"/>
        <v>0</v>
      </c>
      <c r="P39" s="27">
        <f>IF(B39&lt;Вводные!$B$28,0,IF(AND(YEAR(B39)=YEAR(Вводные!$B$28),MONTH(B39)=MONTH(Вводные!$B$28)),M39,J39))</f>
        <v>0</v>
      </c>
    </row>
    <row r="40" spans="1:16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6" x14ac:dyDescent="0.25">
      <c r="A41" s="5" t="s">
        <v>226</v>
      </c>
      <c r="B41" s="1"/>
      <c r="C41" s="1"/>
      <c r="D41" s="1"/>
      <c r="E41" s="5">
        <f>SUM(E4:E39)</f>
        <v>7860.3200000000006</v>
      </c>
      <c r="F41" s="1"/>
      <c r="G41" s="1"/>
      <c r="H41" s="1"/>
      <c r="I41" s="1"/>
      <c r="J41" s="5">
        <f>SUM(J4:J39)</f>
        <v>1474187090.4718649</v>
      </c>
      <c r="K41" s="5">
        <f>MAX(K4:K39)</f>
        <v>1474187090.4718649</v>
      </c>
      <c r="L41" s="5">
        <f>MAX(L4:L39)</f>
        <v>1474187090.4718649</v>
      </c>
      <c r="M41" s="1"/>
      <c r="N41" s="1">
        <f>SUM(N4:N39)</f>
        <v>1474187090.4718649</v>
      </c>
      <c r="O41" s="1"/>
    </row>
  </sheetData>
  <mergeCells count="1">
    <mergeCell ref="A1:O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41"/>
  <sheetViews>
    <sheetView showGridLines="0" topLeftCell="A7" workbookViewId="0">
      <selection sqref="A1:T1"/>
    </sheetView>
  </sheetViews>
  <sheetFormatPr defaultRowHeight="15" x14ac:dyDescent="0.25"/>
  <cols>
    <col min="1" max="1" width="8" style="32" customWidth="1"/>
    <col min="2" max="2" width="10" style="32" customWidth="1"/>
    <col min="3" max="3" width="14" style="32" customWidth="1"/>
    <col min="4" max="5" width="12" style="32" customWidth="1"/>
    <col min="6" max="8" width="13" style="32" customWidth="1"/>
    <col min="9" max="10" width="12" style="32" customWidth="1"/>
    <col min="11" max="11" width="14" style="32" customWidth="1"/>
    <col min="12" max="13" width="10" style="32" customWidth="1"/>
    <col min="14" max="18" width="12" style="32" customWidth="1"/>
    <col min="19" max="19" width="14" style="32" customWidth="1"/>
    <col min="20" max="20" width="18" style="32" customWidth="1"/>
    <col min="22" max="22" width="22" style="32" customWidth="1"/>
    <col min="23" max="23" width="16" style="32" customWidth="1"/>
  </cols>
  <sheetData>
    <row r="1" spans="1:23" x14ac:dyDescent="0.25">
      <c r="A1" s="36" t="s">
        <v>227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</row>
    <row r="2" spans="1:2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3" ht="45" customHeight="1" x14ac:dyDescent="0.25">
      <c r="A3" s="2" t="s">
        <v>210</v>
      </c>
      <c r="B3" s="2" t="s">
        <v>211</v>
      </c>
      <c r="C3" s="2" t="s">
        <v>228</v>
      </c>
      <c r="D3" s="2" t="s">
        <v>229</v>
      </c>
      <c r="E3" s="2" t="s">
        <v>230</v>
      </c>
      <c r="F3" s="2" t="s">
        <v>231</v>
      </c>
      <c r="G3" s="2" t="s">
        <v>232</v>
      </c>
      <c r="H3" s="2" t="s">
        <v>233</v>
      </c>
      <c r="I3" s="2" t="s">
        <v>234</v>
      </c>
      <c r="J3" s="2" t="s">
        <v>235</v>
      </c>
      <c r="K3" s="2" t="s">
        <v>221</v>
      </c>
      <c r="L3" s="2" t="s">
        <v>236</v>
      </c>
      <c r="M3" s="2" t="s">
        <v>237</v>
      </c>
      <c r="N3" s="2" t="s">
        <v>238</v>
      </c>
      <c r="O3" s="2" t="s">
        <v>239</v>
      </c>
      <c r="P3" s="2" t="s">
        <v>240</v>
      </c>
      <c r="Q3" s="2" t="s">
        <v>241</v>
      </c>
      <c r="R3" s="2" t="s">
        <v>242</v>
      </c>
      <c r="S3" s="2" t="s">
        <v>243</v>
      </c>
      <c r="T3" s="2" t="s">
        <v>4</v>
      </c>
      <c r="V3" s="28" t="s">
        <v>244</v>
      </c>
    </row>
    <row r="4" spans="1:23" x14ac:dyDescent="0.25">
      <c r="A4" s="1">
        <v>1</v>
      </c>
      <c r="B4" s="7">
        <v>46054</v>
      </c>
      <c r="C4" s="18">
        <f t="shared" ref="C4:C39" si="0">IF(B4&lt;=DATE(2026,3,31),159641000,IF(B4&lt;=DATE(2026,12,31),545820000,IF(B4&lt;=DATE(2027,6,30),797820000,IF(B4&lt;=DATE(2028,3,31),1084000000,1084000000))))</f>
        <v>159641000</v>
      </c>
      <c r="D4" s="18">
        <f>ГПР!F16</f>
        <v>14148576</v>
      </c>
      <c r="E4" s="18">
        <f>ГПР!F14</f>
        <v>7074288</v>
      </c>
      <c r="F4" s="18">
        <f>IF(A4&lt;=Вводные!$B9,Структура_затрат!$H$35/Вводные!$B9,0)</f>
        <v>2764100.7946347469</v>
      </c>
      <c r="G4" s="18">
        <f>(E4+F4)*Вводные!$B18</f>
        <v>1478709.8358336024</v>
      </c>
      <c r="H4" s="18">
        <f t="shared" ref="H4:H39" si="1">MAX(0,E4+F4-G4)</f>
        <v>8359678.9588011438</v>
      </c>
      <c r="I4" s="18">
        <f t="shared" ref="I4:I39" si="2">MIN(H4,MAX(0,C4-J4))</f>
        <v>8359678.9588011438</v>
      </c>
      <c r="J4" s="18">
        <f t="shared" ref="J4:J39" si="3">IF(A4=1,0,S3)</f>
        <v>0</v>
      </c>
      <c r="K4" s="18">
        <f>Продажи!L4</f>
        <v>26453000</v>
      </c>
      <c r="L4" s="22">
        <f t="shared" ref="L4:L39" si="4">IF((J4+I4)=0,0,K4/(J4+I4))</f>
        <v>3.1643559675398838</v>
      </c>
      <c r="M4" s="29">
        <f>IF(L4&gt;1.3,Вводные!$B26,IF(L4&gt;1.2,Вводные!$B25,IF(L4&gt;1.1,Вводные!$B24,IF(L4&gt;=1,Вводные!$B23,Вводные!$B21+Вводные!$B22))))</f>
        <v>1E-4</v>
      </c>
      <c r="N4" s="18">
        <f t="shared" ref="N4:N39" si="5">(J4+I4)*M4/12</f>
        <v>69.66399132334287</v>
      </c>
      <c r="O4" s="18">
        <f>IF(B4&lt;=Вводные!$B27,N4,0)</f>
        <v>69.66399132334287</v>
      </c>
      <c r="P4" s="18">
        <f>IF(B4&lt;=Вводные!$B27,0,N4)</f>
        <v>0</v>
      </c>
      <c r="Q4" s="18">
        <f>MAX(0,(C4-(J4+I4)))*Вводные!$B20/12</f>
        <v>36559.652584956384</v>
      </c>
      <c r="R4" s="18">
        <f>IF(OR(YEAR(B4)&gt;YEAR(Вводные!$B28),AND(YEAR(B4)=YEAR(Вводные!$B28),MONTH(B4)&gt;=MONTH(Вводные!$B28))),MAX(0,MIN(J4+I4+O4+Q4,Продажи!N4-P4-Q4)),0)</f>
        <v>0</v>
      </c>
      <c r="S4" s="18">
        <f t="shared" ref="S4:S39" si="6">J4+I4+O4+Q4-R4</f>
        <v>8396308.2753774244</v>
      </c>
      <c r="T4" s="1" t="str">
        <f t="shared" ref="T4:T39" si="7">IF(S4=0,"Кредит погашен",IF(L4&lt;1,"Низкое покрытие","Рабочий режим"))</f>
        <v>Рабочий режим</v>
      </c>
      <c r="V4" s="30" t="s">
        <v>245</v>
      </c>
      <c r="W4" s="31">
        <f>MAX(S4:S39)</f>
        <v>741055820.30367231</v>
      </c>
    </row>
    <row r="5" spans="1:23" x14ac:dyDescent="0.25">
      <c r="A5" s="1">
        <v>2</v>
      </c>
      <c r="B5" s="7">
        <v>46082</v>
      </c>
      <c r="C5" s="18">
        <f t="shared" si="0"/>
        <v>159641000</v>
      </c>
      <c r="D5" s="18">
        <f>ГПР!G16</f>
        <v>33580116</v>
      </c>
      <c r="E5" s="18">
        <f>ГПР!G14</f>
        <v>16790058</v>
      </c>
      <c r="F5" s="18">
        <f>IF(A5&lt;=Вводные!$B9,Структура_затрат!$H$35/Вводные!$B9,0)</f>
        <v>2764100.7946347469</v>
      </c>
      <c r="G5" s="18">
        <f>(E5+F5)*Вводные!$B18</f>
        <v>2938990.0668336023</v>
      </c>
      <c r="H5" s="18">
        <f t="shared" si="1"/>
        <v>16615168.727801146</v>
      </c>
      <c r="I5" s="18">
        <f t="shared" si="2"/>
        <v>16615168.727801146</v>
      </c>
      <c r="J5" s="18">
        <f t="shared" si="3"/>
        <v>8396308.2753774244</v>
      </c>
      <c r="K5" s="18">
        <f>Продажи!L5</f>
        <v>53076199.398499921</v>
      </c>
      <c r="L5" s="22">
        <f t="shared" si="4"/>
        <v>2.1220737740420033</v>
      </c>
      <c r="M5" s="29">
        <f>IF(L5&gt;1.3,Вводные!$B26,IF(L5&gt;1.2,Вводные!$B25,IF(L5&gt;1.1,Вводные!$B24,IF(L5&gt;=1,Вводные!$B23,Вводные!$B21+Вводные!$B22))))</f>
        <v>1E-4</v>
      </c>
      <c r="N5" s="18">
        <f t="shared" si="5"/>
        <v>208.42897502648808</v>
      </c>
      <c r="O5" s="18">
        <f>IF(B5&lt;=Вводные!$B27,N5,0)</f>
        <v>208.42897502648808</v>
      </c>
      <c r="P5" s="18">
        <f>IF(B5&lt;=Вводные!$B27,0,N5)</f>
        <v>0</v>
      </c>
      <c r="Q5" s="18">
        <f>MAX(0,(C5-(J5+I5)))*Вводные!$B20/12</f>
        <v>32535.468057565176</v>
      </c>
      <c r="R5" s="18">
        <f>IF(OR(YEAR(B5)&gt;YEAR(Вводные!$B28),AND(YEAR(B5)=YEAR(Вводные!$B28),MONTH(B5)&gt;=MONTH(Вводные!$B28))),MAX(0,MIN(J5+I5+O5+Q5,Продажи!N5-P5-Q5)),0)</f>
        <v>0</v>
      </c>
      <c r="S5" s="18">
        <f t="shared" si="6"/>
        <v>25044220.900211163</v>
      </c>
      <c r="T5" s="1" t="str">
        <f t="shared" si="7"/>
        <v>Рабочий режим</v>
      </c>
      <c r="V5" s="30" t="s">
        <v>246</v>
      </c>
      <c r="W5" s="31">
        <f>SUM(O4:O39)</f>
        <v>324945.54840670712</v>
      </c>
    </row>
    <row r="6" spans="1:23" x14ac:dyDescent="0.25">
      <c r="A6" s="1">
        <v>3</v>
      </c>
      <c r="B6" s="7">
        <v>46113</v>
      </c>
      <c r="C6" s="18">
        <f t="shared" si="0"/>
        <v>545820000</v>
      </c>
      <c r="D6" s="18">
        <f>ГПР!H16</f>
        <v>74487570</v>
      </c>
      <c r="E6" s="18">
        <f>ГПР!H14</f>
        <v>37243785</v>
      </c>
      <c r="F6" s="18">
        <f>IF(A6&lt;=Вводные!$B9,Структура_затрат!$H$35/Вводные!$B9,0)</f>
        <v>2764100.7946347469</v>
      </c>
      <c r="G6" s="18">
        <f>(E6+F6)*Вводные!$B18</f>
        <v>6013185.2349336017</v>
      </c>
      <c r="H6" s="18">
        <f t="shared" si="1"/>
        <v>33994700.559701145</v>
      </c>
      <c r="I6" s="18">
        <f t="shared" si="2"/>
        <v>33994700.559701145</v>
      </c>
      <c r="J6" s="18">
        <f t="shared" si="3"/>
        <v>25044220.900211163</v>
      </c>
      <c r="K6" s="18">
        <f>Продажи!L6</f>
        <v>79870693.263554409</v>
      </c>
      <c r="L6" s="22">
        <f t="shared" si="4"/>
        <v>1.3528481091543478</v>
      </c>
      <c r="M6" s="29">
        <f>IF(L6&gt;1.3,Вводные!$B26,IF(L6&gt;1.2,Вводные!$B25,IF(L6&gt;1.1,Вводные!$B24,IF(L6&gt;=1,Вводные!$B23,Вводные!$B21+Вводные!$B22))))</f>
        <v>1E-4</v>
      </c>
      <c r="N6" s="18">
        <f t="shared" si="5"/>
        <v>491.9910121659359</v>
      </c>
      <c r="O6" s="18">
        <f>IF(B6&lt;=Вводные!$B27,N6,0)</f>
        <v>491.9910121659359</v>
      </c>
      <c r="P6" s="18">
        <f>IF(B6&lt;=Вводные!$B27,0,N6)</f>
        <v>0</v>
      </c>
      <c r="Q6" s="18">
        <f>MAX(0,(C6-(J6+I6)))*Вводные!$B20/12</f>
        <v>117638.76064718784</v>
      </c>
      <c r="R6" s="18">
        <f>IF(OR(YEAR(B6)&gt;YEAR(Вводные!$B28),AND(YEAR(B6)=YEAR(Вводные!$B28),MONTH(B6)&gt;=MONTH(Вводные!$B28))),MAX(0,MIN(J6+I6+O6+Q6,Продажи!N6-P6-Q6)),0)</f>
        <v>0</v>
      </c>
      <c r="S6" s="18">
        <f t="shared" si="6"/>
        <v>59157052.211571656</v>
      </c>
      <c r="T6" s="1" t="str">
        <f t="shared" si="7"/>
        <v>Рабочий режим</v>
      </c>
      <c r="V6" s="30" t="s">
        <v>240</v>
      </c>
      <c r="W6" s="31">
        <f>SUM(P4:P39)</f>
        <v>111040.08112751944</v>
      </c>
    </row>
    <row r="7" spans="1:23" x14ac:dyDescent="0.25">
      <c r="A7" s="1">
        <v>4</v>
      </c>
      <c r="B7" s="7">
        <v>46143</v>
      </c>
      <c r="C7" s="18">
        <f t="shared" si="0"/>
        <v>545820000</v>
      </c>
      <c r="D7" s="18">
        <f>ГПР!I16</f>
        <v>55056030</v>
      </c>
      <c r="E7" s="18">
        <f>ГПР!I14</f>
        <v>27528015</v>
      </c>
      <c r="F7" s="18">
        <f>IF(A7&lt;=Вводные!$B9,Структура_затрат!$H$35/Вводные!$B9,0)</f>
        <v>2764100.7946347469</v>
      </c>
      <c r="G7" s="18">
        <f>(E7+F7)*Вводные!$B18</f>
        <v>4552905.003933602</v>
      </c>
      <c r="H7" s="18">
        <f t="shared" si="1"/>
        <v>25739210.790701147</v>
      </c>
      <c r="I7" s="18">
        <f t="shared" si="2"/>
        <v>25739210.790701147</v>
      </c>
      <c r="J7" s="18">
        <f t="shared" si="3"/>
        <v>59157052.211571656</v>
      </c>
      <c r="K7" s="18">
        <f>Продажи!L7</f>
        <v>106837583.70891896</v>
      </c>
      <c r="L7" s="22">
        <f t="shared" si="4"/>
        <v>1.2584486045759018</v>
      </c>
      <c r="M7" s="29">
        <f>IF(L7&gt;1.3,Вводные!$B26,IF(L7&gt;1.2,Вводные!$B25,IF(L7&gt;1.1,Вводные!$B24,IF(L7&gt;=1,Вводные!$B23,Вводные!$B21+Вводные!$B22))))</f>
        <v>1.5100000000000001E-2</v>
      </c>
      <c r="N7" s="18">
        <f t="shared" si="5"/>
        <v>106827.79761119328</v>
      </c>
      <c r="O7" s="18">
        <f>IF(B7&lt;=Вводные!$B27,N7,0)</f>
        <v>106827.79761119328</v>
      </c>
      <c r="P7" s="18">
        <f>IF(B7&lt;=Вводные!$B27,0,N7)</f>
        <v>0</v>
      </c>
      <c r="Q7" s="18">
        <f>MAX(0,(C7-(J7+I7)))*Вводные!$B20/12</f>
        <v>111389.90310778406</v>
      </c>
      <c r="R7" s="18">
        <f>IF(OR(YEAR(B7)&gt;YEAR(Вводные!$B28),AND(YEAR(B7)=YEAR(Вводные!$B28),MONTH(B7)&gt;=MONTH(Вводные!$B28))),MAX(0,MIN(J7+I7+O7+Q7,Продажи!N7-P7-Q7)),0)</f>
        <v>0</v>
      </c>
      <c r="S7" s="18">
        <f t="shared" si="6"/>
        <v>85114480.702991769</v>
      </c>
      <c r="T7" s="1" t="str">
        <f t="shared" si="7"/>
        <v>Рабочий режим</v>
      </c>
      <c r="V7" s="30" t="s">
        <v>247</v>
      </c>
      <c r="W7" s="31">
        <f>SUM(Q4:Q39)</f>
        <v>2586099.2849877197</v>
      </c>
    </row>
    <row r="8" spans="1:23" x14ac:dyDescent="0.25">
      <c r="A8" s="1">
        <v>5</v>
      </c>
      <c r="B8" s="7">
        <v>46174</v>
      </c>
      <c r="C8" s="18">
        <f t="shared" si="0"/>
        <v>545820000</v>
      </c>
      <c r="D8" s="18">
        <f>ГПР!J16</f>
        <v>102795245.55555555</v>
      </c>
      <c r="E8" s="18">
        <f>ГПР!J14</f>
        <v>51397622.777777776</v>
      </c>
      <c r="F8" s="18">
        <f>IF(A8&lt;=Вводные!$B9,Структура_затрат!$H$35/Вводные!$B9,0)</f>
        <v>2764100.7946347469</v>
      </c>
      <c r="G8" s="18">
        <f>(E8+F8)*Вводные!$B18</f>
        <v>8140507.0529336017</v>
      </c>
      <c r="H8" s="18">
        <f t="shared" si="1"/>
        <v>46021216.519478917</v>
      </c>
      <c r="I8" s="18">
        <f t="shared" si="2"/>
        <v>46021216.519478917</v>
      </c>
      <c r="J8" s="18">
        <f t="shared" si="3"/>
        <v>85114480.702991769</v>
      </c>
      <c r="K8" s="18">
        <f>Продажи!L8</f>
        <v>161118376.16984534</v>
      </c>
      <c r="L8" s="22">
        <f t="shared" si="4"/>
        <v>1.2286385750213329</v>
      </c>
      <c r="M8" s="29">
        <f>IF(L8&gt;1.3,Вводные!$B26,IF(L8&gt;1.2,Вводные!$B25,IF(L8&gt;1.1,Вводные!$B24,IF(L8&gt;=1,Вводные!$B23,Вводные!$B21+Вводные!$B22))))</f>
        <v>1.5100000000000001E-2</v>
      </c>
      <c r="N8" s="18">
        <f t="shared" si="5"/>
        <v>165012.41900494229</v>
      </c>
      <c r="O8" s="18">
        <f>IF(B8&lt;=Вводные!$B27,N8,0)</f>
        <v>165012.41900494229</v>
      </c>
      <c r="P8" s="18">
        <f>IF(B8&lt;=Вводные!$B27,0,N8)</f>
        <v>0</v>
      </c>
      <c r="Q8" s="18">
        <f>MAX(0,(C8-(J8+I8)))*Вводные!$B20/12</f>
        <v>100215.37317123625</v>
      </c>
      <c r="R8" s="18">
        <f>IF(OR(YEAR(B8)&gt;YEAR(Вводные!$B28),AND(YEAR(B8)=YEAR(Вводные!$B28),MONTH(B8)&gt;=MONTH(Вводные!$B28))),MAX(0,MIN(J8+I8+O8+Q8,Продажи!N8-P8-Q8)),0)</f>
        <v>0</v>
      </c>
      <c r="S8" s="18">
        <f t="shared" si="6"/>
        <v>131400925.01464687</v>
      </c>
      <c r="T8" s="1" t="str">
        <f t="shared" si="7"/>
        <v>Рабочий режим</v>
      </c>
      <c r="V8" s="30" t="s">
        <v>248</v>
      </c>
      <c r="W8" s="31">
        <f>S39</f>
        <v>741055820.30367231</v>
      </c>
    </row>
    <row r="9" spans="1:23" x14ac:dyDescent="0.25">
      <c r="A9" s="1">
        <v>6</v>
      </c>
      <c r="B9" s="7">
        <v>46204</v>
      </c>
      <c r="C9" s="18">
        <f t="shared" si="0"/>
        <v>545820000</v>
      </c>
      <c r="D9" s="18">
        <f>ГПР!K16</f>
        <v>47739215.555555552</v>
      </c>
      <c r="E9" s="18">
        <f>ГПР!K14</f>
        <v>23869607.777777776</v>
      </c>
      <c r="F9" s="18">
        <f>IF(A9&lt;=Вводные!$B9,Структура_затрат!$H$35/Вводные!$B9,0)</f>
        <v>2764100.7946347469</v>
      </c>
      <c r="G9" s="18">
        <f>(E9+F9)*Вводные!$B18</f>
        <v>4003046.3984336019</v>
      </c>
      <c r="H9" s="18">
        <f t="shared" si="1"/>
        <v>22630662.173978921</v>
      </c>
      <c r="I9" s="18">
        <f t="shared" si="2"/>
        <v>22630662.173978921</v>
      </c>
      <c r="J9" s="18">
        <f t="shared" si="3"/>
        <v>131400925.01464687</v>
      </c>
      <c r="K9" s="18">
        <f>Продажи!L9</f>
        <v>215748412.88386017</v>
      </c>
      <c r="L9" s="22">
        <f t="shared" si="4"/>
        <v>1.4006764250222032</v>
      </c>
      <c r="M9" s="29">
        <f>IF(L9&gt;1.3,Вводные!$B26,IF(L9&gt;1.2,Вводные!$B25,IF(L9&gt;1.1,Вводные!$B24,IF(L9&gt;=1,Вводные!$B23,Вводные!$B21+Вводные!$B22))))</f>
        <v>1E-4</v>
      </c>
      <c r="N9" s="18">
        <f t="shared" si="5"/>
        <v>1283.5965599052149</v>
      </c>
      <c r="O9" s="18">
        <f>IF(B9&lt;=Вводные!$B27,N9,0)</f>
        <v>1283.5965599052149</v>
      </c>
      <c r="P9" s="18">
        <f>IF(B9&lt;=Вводные!$B27,0,N9)</f>
        <v>0</v>
      </c>
      <c r="Q9" s="18">
        <f>MAX(0,(C9-(J9+I9)))*Вводные!$B20/12</f>
        <v>94682.199762748744</v>
      </c>
      <c r="R9" s="18">
        <f>IF(OR(YEAR(B9)&gt;YEAR(Вводные!$B28),AND(YEAR(B9)=YEAR(Вводные!$B28),MONTH(B9)&gt;=MONTH(Вводные!$B28))),MAX(0,MIN(J9+I9+O9+Q9,Продажи!N9-P9-Q9)),0)</f>
        <v>0</v>
      </c>
      <c r="S9" s="18">
        <f t="shared" si="6"/>
        <v>154127552.98494846</v>
      </c>
      <c r="T9" s="1" t="str">
        <f t="shared" si="7"/>
        <v>Рабочий режим</v>
      </c>
    </row>
    <row r="10" spans="1:23" x14ac:dyDescent="0.25">
      <c r="A10" s="1">
        <v>7</v>
      </c>
      <c r="B10" s="7">
        <v>46235</v>
      </c>
      <c r="C10" s="18">
        <f t="shared" si="0"/>
        <v>545820000</v>
      </c>
      <c r="D10" s="18">
        <f>ГПР!L16</f>
        <v>47739215.555555552</v>
      </c>
      <c r="E10" s="18">
        <f>ГПР!L14</f>
        <v>23869607.777777776</v>
      </c>
      <c r="F10" s="18">
        <f>IF(A10&lt;=Вводные!$B9,Структура_затрат!$H$35/Вводные!$B9,0)</f>
        <v>2764100.7946347469</v>
      </c>
      <c r="G10" s="18">
        <f>(E10+F10)*Вводные!$B18</f>
        <v>4003046.3984336019</v>
      </c>
      <c r="H10" s="18">
        <f t="shared" si="1"/>
        <v>22630662.173978921</v>
      </c>
      <c r="I10" s="18">
        <f t="shared" si="2"/>
        <v>22630662.173978921</v>
      </c>
      <c r="J10" s="18">
        <f t="shared" si="3"/>
        <v>154127552.98494846</v>
      </c>
      <c r="K10" s="18">
        <f>Продажи!L10</f>
        <v>298220704.90657532</v>
      </c>
      <c r="L10" s="22">
        <f t="shared" si="4"/>
        <v>1.6871674373857997</v>
      </c>
      <c r="M10" s="29">
        <f>IF(L10&gt;1.3,Вводные!$B26,IF(L10&gt;1.2,Вводные!$B25,IF(L10&gt;1.1,Вводные!$B24,IF(L10&gt;=1,Вводные!$B23,Вводные!$B21+Вводные!$B22))))</f>
        <v>1E-4</v>
      </c>
      <c r="N10" s="18">
        <f t="shared" si="5"/>
        <v>1472.9851263243947</v>
      </c>
      <c r="O10" s="18">
        <f>IF(B10&lt;=Вводные!$B27,N10,0)</f>
        <v>1472.9851263243947</v>
      </c>
      <c r="P10" s="18">
        <f>IF(B10&lt;=Вводные!$B27,0,N10)</f>
        <v>0</v>
      </c>
      <c r="Q10" s="18">
        <f>MAX(0,(C10-(J10+I10)))*Вводные!$B20/12</f>
        <v>89189.931336592548</v>
      </c>
      <c r="R10" s="18">
        <f>IF(OR(YEAR(B10)&gt;YEAR(Вводные!$B28),AND(YEAR(B10)=YEAR(Вводные!$B28),MONTH(B10)&gt;=MONTH(Вводные!$B28))),MAX(0,MIN(J10+I10+O10+Q10,Продажи!N10-P10-Q10)),0)</f>
        <v>0</v>
      </c>
      <c r="S10" s="18">
        <f t="shared" si="6"/>
        <v>176848878.07539028</v>
      </c>
      <c r="T10" s="1" t="str">
        <f t="shared" si="7"/>
        <v>Рабочий режим</v>
      </c>
    </row>
    <row r="11" spans="1:23" x14ac:dyDescent="0.25">
      <c r="A11" s="1">
        <v>8</v>
      </c>
      <c r="B11" s="7">
        <v>46266</v>
      </c>
      <c r="C11" s="18">
        <f t="shared" si="0"/>
        <v>545820000</v>
      </c>
      <c r="D11" s="18">
        <f>ГПР!M16</f>
        <v>47739215.555555552</v>
      </c>
      <c r="E11" s="18">
        <f>ГПР!M14</f>
        <v>23869607.777777776</v>
      </c>
      <c r="F11" s="18">
        <f>IF(A11&lt;=Вводные!$B9,Структура_затрат!$H$35/Вводные!$B9,0)</f>
        <v>2764100.7946347469</v>
      </c>
      <c r="G11" s="18">
        <f>(E11+F11)*Вводные!$B18</f>
        <v>4003046.3984336019</v>
      </c>
      <c r="H11" s="18">
        <f t="shared" si="1"/>
        <v>22630662.173978921</v>
      </c>
      <c r="I11" s="18">
        <f t="shared" si="2"/>
        <v>22630662.173978921</v>
      </c>
      <c r="J11" s="18">
        <f t="shared" si="3"/>
        <v>176848878.07539028</v>
      </c>
      <c r="K11" s="18">
        <f>Продажи!L11</f>
        <v>381223626.13940561</v>
      </c>
      <c r="L11" s="22">
        <f t="shared" si="4"/>
        <v>1.9110913613638685</v>
      </c>
      <c r="M11" s="29">
        <f>IF(L11&gt;1.3,Вводные!$B26,IF(L11&gt;1.2,Вводные!$B25,IF(L11&gt;1.1,Вводные!$B24,IF(L11&gt;=1,Вводные!$B23,Вводные!$B21+Вводные!$B22))))</f>
        <v>1E-4</v>
      </c>
      <c r="N11" s="18">
        <f t="shared" si="5"/>
        <v>1662.3295020780768</v>
      </c>
      <c r="O11" s="18">
        <f>IF(B11&lt;=Вводные!$B27,N11,0)</f>
        <v>1662.3295020780768</v>
      </c>
      <c r="P11" s="18">
        <f>IF(B11&lt;=Вводные!$B27,0,N11)</f>
        <v>0</v>
      </c>
      <c r="Q11" s="18">
        <f>MAX(0,(C11-(J11+I11)))*Вводные!$B20/12</f>
        <v>83698.944439735773</v>
      </c>
      <c r="R11" s="18">
        <f>IF(OR(YEAR(B11)&gt;YEAR(Вводные!$B28),AND(YEAR(B11)=YEAR(Вводные!$B28),MONTH(B11)&gt;=MONTH(Вводные!$B28))),MAX(0,MIN(J11+I11+O11+Q11,Продажи!N11-P11-Q11)),0)</f>
        <v>0</v>
      </c>
      <c r="S11" s="18">
        <f t="shared" si="6"/>
        <v>199564901.52331102</v>
      </c>
      <c r="T11" s="1" t="str">
        <f t="shared" si="7"/>
        <v>Рабочий режим</v>
      </c>
    </row>
    <row r="12" spans="1:23" x14ac:dyDescent="0.25">
      <c r="A12" s="1">
        <v>9</v>
      </c>
      <c r="B12" s="7">
        <v>46296</v>
      </c>
      <c r="C12" s="18">
        <f t="shared" si="0"/>
        <v>545820000</v>
      </c>
      <c r="D12" s="18">
        <f>ГПР!N16</f>
        <v>162570363.84126985</v>
      </c>
      <c r="E12" s="18">
        <f>ГПР!N14</f>
        <v>81285181.920634925</v>
      </c>
      <c r="F12" s="18">
        <f>IF(A12&lt;=Вводные!$B9,Структура_затрат!$H$35/Вводные!$B9,0)</f>
        <v>2764100.7946347469</v>
      </c>
      <c r="G12" s="18">
        <f>(E12+F12)*Вводные!$B18</f>
        <v>12632607.192105031</v>
      </c>
      <c r="H12" s="18">
        <f t="shared" si="1"/>
        <v>71416675.523164645</v>
      </c>
      <c r="I12" s="18">
        <f t="shared" si="2"/>
        <v>71416675.523164645</v>
      </c>
      <c r="J12" s="18">
        <f t="shared" si="3"/>
        <v>199564901.52331102</v>
      </c>
      <c r="K12" s="18">
        <f>Продажи!L12</f>
        <v>492606245.50908637</v>
      </c>
      <c r="L12" s="22">
        <f t="shared" si="4"/>
        <v>1.8178588038278345</v>
      </c>
      <c r="M12" s="29">
        <f>IF(L12&gt;1.3,Вводные!$B26,IF(L12&gt;1.2,Вводные!$B25,IF(L12&gt;1.1,Вводные!$B24,IF(L12&gt;=1,Вводные!$B23,Вводные!$B21+Вводные!$B22))))</f>
        <v>1E-4</v>
      </c>
      <c r="N12" s="18">
        <f t="shared" si="5"/>
        <v>2258.1798087206303</v>
      </c>
      <c r="O12" s="18">
        <f>IF(B12&lt;=Вводные!$B27,N12,0)</f>
        <v>2258.1798087206303</v>
      </c>
      <c r="P12" s="18">
        <f>IF(B12&lt;=Вводные!$B27,0,N12)</f>
        <v>0</v>
      </c>
      <c r="Q12" s="18">
        <f>MAX(0,(C12-(J12+I12)))*Вводные!$B20/12</f>
        <v>66419.28554710171</v>
      </c>
      <c r="R12" s="18">
        <f>IF(OR(YEAR(B12)&gt;YEAR(Вводные!$B28),AND(YEAR(B12)=YEAR(Вводные!$B28),MONTH(B12)&gt;=MONTH(Вводные!$B28))),MAX(0,MIN(J12+I12+O12+Q12,Продажи!N12-P12-Q12)),0)</f>
        <v>0</v>
      </c>
      <c r="S12" s="18">
        <f t="shared" si="6"/>
        <v>271050254.51183146</v>
      </c>
      <c r="T12" s="1" t="str">
        <f t="shared" si="7"/>
        <v>Рабочий режим</v>
      </c>
    </row>
    <row r="13" spans="1:23" x14ac:dyDescent="0.25">
      <c r="A13" s="1">
        <v>10</v>
      </c>
      <c r="B13" s="7">
        <v>46327</v>
      </c>
      <c r="C13" s="18">
        <f t="shared" si="0"/>
        <v>545820000</v>
      </c>
      <c r="D13" s="18">
        <f>ГПР!O16</f>
        <v>171976546.77460319</v>
      </c>
      <c r="E13" s="18">
        <f>ГПР!O14</f>
        <v>85988273.387301594</v>
      </c>
      <c r="F13" s="18">
        <f>IF(A13&lt;=Вводные!$B9,Структура_затрат!$H$35/Вводные!$B9,0)</f>
        <v>2764100.7946347469</v>
      </c>
      <c r="G13" s="18">
        <f>(E13+F13)*Вводные!$B18</f>
        <v>13339481.83954503</v>
      </c>
      <c r="H13" s="18">
        <f t="shared" si="1"/>
        <v>75412892.342391312</v>
      </c>
      <c r="I13" s="18">
        <f t="shared" si="2"/>
        <v>75412892.342391312</v>
      </c>
      <c r="J13" s="18">
        <f t="shared" si="3"/>
        <v>271050254.51183146</v>
      </c>
      <c r="K13" s="18">
        <f>Продажи!L13</f>
        <v>604705504.00552273</v>
      </c>
      <c r="L13" s="22">
        <f t="shared" si="4"/>
        <v>1.7453674640320622</v>
      </c>
      <c r="M13" s="29">
        <f>IF(L13&gt;1.3,Вводные!$B26,IF(L13&gt;1.2,Вводные!$B25,IF(L13&gt;1.1,Вводные!$B24,IF(L13&gt;=1,Вводные!$B23,Вводные!$B21+Вводные!$B22))))</f>
        <v>1E-4</v>
      </c>
      <c r="N13" s="18">
        <f t="shared" si="5"/>
        <v>2887.1928904518568</v>
      </c>
      <c r="O13" s="18">
        <f>IF(B13&lt;=Вводные!$B27,N13,0)</f>
        <v>2887.1928904518568</v>
      </c>
      <c r="P13" s="18">
        <f>IF(B13&lt;=Вводные!$B27,0,N13)</f>
        <v>0</v>
      </c>
      <c r="Q13" s="18">
        <f>MAX(0,(C13-(J13+I13)))*Вводные!$B20/12</f>
        <v>48177.906176896162</v>
      </c>
      <c r="R13" s="18">
        <f>IF(OR(YEAR(B13)&gt;YEAR(Вводные!$B28),AND(YEAR(B13)=YEAR(Вводные!$B28),MONTH(B13)&gt;=MONTH(Вводные!$B28))),MAX(0,MIN(J13+I13+O13+Q13,Продажи!N13-P13-Q13)),0)</f>
        <v>0</v>
      </c>
      <c r="S13" s="18">
        <f t="shared" si="6"/>
        <v>346514211.95329016</v>
      </c>
      <c r="T13" s="1" t="str">
        <f t="shared" si="7"/>
        <v>Рабочий режим</v>
      </c>
    </row>
    <row r="14" spans="1:23" x14ac:dyDescent="0.25">
      <c r="A14" s="1">
        <v>11</v>
      </c>
      <c r="B14" s="7">
        <v>46357</v>
      </c>
      <c r="C14" s="18">
        <f t="shared" si="0"/>
        <v>545820000</v>
      </c>
      <c r="D14" s="18">
        <f>ГПР!P16</f>
        <v>193747068.44126984</v>
      </c>
      <c r="E14" s="18">
        <f>ГПР!P14</f>
        <v>96873534.220634922</v>
      </c>
      <c r="F14" s="18">
        <f>IF(A14&lt;=Вводные!$B9,Структура_затрат!$H$35/Вводные!$B9,0)</f>
        <v>2764100.7946347469</v>
      </c>
      <c r="G14" s="18">
        <f>(E14+F14)*Вводные!$B18</f>
        <v>14975536.54279503</v>
      </c>
      <c r="H14" s="18">
        <f t="shared" si="1"/>
        <v>84662098.472474635</v>
      </c>
      <c r="I14" s="18">
        <f t="shared" si="2"/>
        <v>84662098.472474635</v>
      </c>
      <c r="J14" s="18">
        <f t="shared" si="3"/>
        <v>346514211.95329016</v>
      </c>
      <c r="K14" s="18">
        <f>Продажи!L14</f>
        <v>747331139.63166201</v>
      </c>
      <c r="L14" s="22">
        <f t="shared" si="4"/>
        <v>1.7332379390085468</v>
      </c>
      <c r="M14" s="29">
        <f>IF(L14&gt;1.3,Вводные!$B26,IF(L14&gt;1.2,Вводные!$B25,IF(L14&gt;1.1,Вводные!$B24,IF(L14&gt;=1,Вводные!$B23,Вводные!$B21+Вводные!$B22))))</f>
        <v>1E-4</v>
      </c>
      <c r="N14" s="18">
        <f t="shared" si="5"/>
        <v>3593.1359202147069</v>
      </c>
      <c r="O14" s="18">
        <f>IF(B14&lt;=Вводные!$B27,N14,0)</f>
        <v>3593.1359202147069</v>
      </c>
      <c r="P14" s="18">
        <f>IF(B14&lt;=Вводные!$B27,0,N14)</f>
        <v>0</v>
      </c>
      <c r="Q14" s="18">
        <f>MAX(0,(C14-(J14+I14)))*Вводные!$B20/12</f>
        <v>27705.558313773505</v>
      </c>
      <c r="R14" s="18">
        <f>IF(OR(YEAR(B14)&gt;YEAR(Вводные!$B28),AND(YEAR(B14)=YEAR(Вводные!$B28),MONTH(B14)&gt;=MONTH(Вводные!$B28))),MAX(0,MIN(J14+I14+O14+Q14,Продажи!N14-P14-Q14)),0)</f>
        <v>0</v>
      </c>
      <c r="S14" s="18">
        <f t="shared" si="6"/>
        <v>431207609.11999881</v>
      </c>
      <c r="T14" s="1" t="str">
        <f t="shared" si="7"/>
        <v>Рабочий режим</v>
      </c>
    </row>
    <row r="15" spans="1:23" x14ac:dyDescent="0.25">
      <c r="A15" s="1">
        <v>12</v>
      </c>
      <c r="B15" s="7">
        <v>46388</v>
      </c>
      <c r="C15" s="18">
        <f t="shared" si="0"/>
        <v>797820000</v>
      </c>
      <c r="D15" s="18">
        <f>ГПР!Q16</f>
        <v>193747068.44126984</v>
      </c>
      <c r="E15" s="18">
        <f>ГПР!Q14</f>
        <v>96873534.220634922</v>
      </c>
      <c r="F15" s="18">
        <f>IF(A15&lt;=Вводные!$B9,Структура_затрат!$H$35/Вводные!$B9,0)</f>
        <v>2764100.7946347469</v>
      </c>
      <c r="G15" s="18">
        <f>(E15+F15)*Вводные!$B18</f>
        <v>14975536.54279503</v>
      </c>
      <c r="H15" s="18">
        <f t="shared" si="1"/>
        <v>84662098.472474635</v>
      </c>
      <c r="I15" s="18">
        <f t="shared" si="2"/>
        <v>84662098.472474635</v>
      </c>
      <c r="J15" s="18">
        <f t="shared" si="3"/>
        <v>431207609.11999881</v>
      </c>
      <c r="K15" s="18">
        <f>Продажи!L15</f>
        <v>890864138.44370234</v>
      </c>
      <c r="L15" s="22">
        <f t="shared" si="4"/>
        <v>1.7269169430422668</v>
      </c>
      <c r="M15" s="29">
        <f>IF(L15&gt;1.3,Вводные!$B26,IF(L15&gt;1.2,Вводные!$B25,IF(L15&gt;1.1,Вводные!$B24,IF(L15&gt;=1,Вводные!$B23,Вводные!$B21+Вводные!$B22))))</f>
        <v>1E-4</v>
      </c>
      <c r="N15" s="18">
        <f t="shared" si="5"/>
        <v>4298.9142299372788</v>
      </c>
      <c r="O15" s="18">
        <f>IF(B15&lt;=Вводные!$B27,N15,0)</f>
        <v>4298.9142299372788</v>
      </c>
      <c r="P15" s="18">
        <f>IF(B15&lt;=Вводные!$B27,0,N15)</f>
        <v>0</v>
      </c>
      <c r="Q15" s="18">
        <f>MAX(0,(C15-(J15+I15)))*Вводные!$B20/12</f>
        <v>68137.98733181892</v>
      </c>
      <c r="R15" s="18">
        <f>IF(OR(YEAR(B15)&gt;YEAR(Вводные!$B28),AND(YEAR(B15)=YEAR(Вводные!$B28),MONTH(B15)&gt;=MONTH(Вводные!$B28))),MAX(0,MIN(J15+I15+O15+Q15,Продажи!N15-P15-Q15)),0)</f>
        <v>0</v>
      </c>
      <c r="S15" s="18">
        <f t="shared" si="6"/>
        <v>515942144.49403518</v>
      </c>
      <c r="T15" s="1" t="str">
        <f t="shared" si="7"/>
        <v>Рабочий режим</v>
      </c>
    </row>
    <row r="16" spans="1:23" x14ac:dyDescent="0.25">
      <c r="A16" s="1">
        <v>13</v>
      </c>
      <c r="B16" s="7">
        <v>46419</v>
      </c>
      <c r="C16" s="18">
        <f t="shared" si="0"/>
        <v>797820000</v>
      </c>
      <c r="D16" s="18">
        <f>ГПР!R16</f>
        <v>193747068.44126984</v>
      </c>
      <c r="E16" s="18">
        <f>ГПР!R14</f>
        <v>96873534.220634922</v>
      </c>
      <c r="F16" s="18">
        <f>IF(A16&lt;=Вводные!$B9,Структура_затрат!$H$35/Вводные!$B9,0)</f>
        <v>2764100.7946347469</v>
      </c>
      <c r="G16" s="18">
        <f>(E16+F16)*Вводные!$B18</f>
        <v>14975536.54279503</v>
      </c>
      <c r="H16" s="18">
        <f t="shared" si="1"/>
        <v>84662098.472474635</v>
      </c>
      <c r="I16" s="18">
        <f t="shared" si="2"/>
        <v>84662098.472474635</v>
      </c>
      <c r="J16" s="18">
        <f t="shared" si="3"/>
        <v>515942144.49403518</v>
      </c>
      <c r="K16" s="18">
        <f>Продажи!L16</f>
        <v>1035310338.4437023</v>
      </c>
      <c r="L16" s="22">
        <f t="shared" si="4"/>
        <v>1.7237812595696766</v>
      </c>
      <c r="M16" s="29">
        <f>IF(L16&gt;1.3,Вводные!$B26,IF(L16&gt;1.2,Вводные!$B25,IF(L16&gt;1.1,Вводные!$B24,IF(L16&gt;=1,Вводные!$B23,Вводные!$B21+Вводные!$B22))))</f>
        <v>1E-4</v>
      </c>
      <c r="N16" s="18">
        <f t="shared" si="5"/>
        <v>5005.0353580542487</v>
      </c>
      <c r="O16" s="18">
        <f>IF(B16&lt;=Вводные!$B27,N16,0)</f>
        <v>5005.0353580542487</v>
      </c>
      <c r="P16" s="18">
        <f>IF(B16&lt;=Вводные!$B27,0,N16)</f>
        <v>0</v>
      </c>
      <c r="Q16" s="18">
        <f>MAX(0,(C16-(J16+I16)))*Вводные!$B20/12</f>
        <v>47660.474616426793</v>
      </c>
      <c r="R16" s="18">
        <f>IF(OR(YEAR(B16)&gt;YEAR(Вводные!$B28),AND(YEAR(B16)=YEAR(Вводные!$B28),MONTH(B16)&gt;=MONTH(Вводные!$B28))),MAX(0,MIN(J16+I16+O16+Q16,Продажи!N16-P16-Q16)),0)</f>
        <v>0</v>
      </c>
      <c r="S16" s="18">
        <f t="shared" si="6"/>
        <v>600656908.4764843</v>
      </c>
      <c r="T16" s="1" t="str">
        <f t="shared" si="7"/>
        <v>Рабочий режим</v>
      </c>
    </row>
    <row r="17" spans="1:20" x14ac:dyDescent="0.25">
      <c r="A17" s="1">
        <v>14</v>
      </c>
      <c r="B17" s="7">
        <v>46447</v>
      </c>
      <c r="C17" s="18">
        <f t="shared" si="0"/>
        <v>797820000</v>
      </c>
      <c r="D17" s="18">
        <f>ГПР!S16</f>
        <v>146007852.88571429</v>
      </c>
      <c r="E17" s="18">
        <f>ГПР!S14</f>
        <v>73003926.442857146</v>
      </c>
      <c r="F17" s="18">
        <f>IF(A17&lt;=Вводные!$B9,Структура_затрат!$H$35/Вводные!$B9,0)</f>
        <v>2764100.7946347469</v>
      </c>
      <c r="G17" s="18">
        <f>(E17+F17)*Вводные!$B18</f>
        <v>11387934.49379503</v>
      </c>
      <c r="H17" s="18">
        <f t="shared" si="1"/>
        <v>64380092.743696861</v>
      </c>
      <c r="I17" s="18">
        <f t="shared" si="2"/>
        <v>64380092.743696861</v>
      </c>
      <c r="J17" s="18">
        <f t="shared" si="3"/>
        <v>600656908.4764843</v>
      </c>
      <c r="K17" s="18">
        <f>Продажи!L17</f>
        <v>1180675615.1956019</v>
      </c>
      <c r="L17" s="22">
        <f t="shared" si="4"/>
        <v>1.7753532706140402</v>
      </c>
      <c r="M17" s="29">
        <f>IF(L17&gt;1.3,Вводные!$B26,IF(L17&gt;1.2,Вводные!$B25,IF(L17&gt;1.1,Вводные!$B24,IF(L17&gt;=1,Вводные!$B23,Вводные!$B21+Вводные!$B22))))</f>
        <v>1E-4</v>
      </c>
      <c r="N17" s="18">
        <f t="shared" si="5"/>
        <v>5541.9750101681757</v>
      </c>
      <c r="O17" s="18">
        <f>IF(B17&lt;=Вводные!$B27,N17,0)</f>
        <v>5541.9750101681757</v>
      </c>
      <c r="P17" s="18">
        <f>IF(B17&lt;=Вводные!$B27,0,N17)</f>
        <v>0</v>
      </c>
      <c r="Q17" s="18">
        <f>MAX(0,(C17-(J17+I17)))*Вводные!$B20/12</f>
        <v>32089.224705122895</v>
      </c>
      <c r="R17" s="18">
        <f>IF(OR(YEAR(B17)&gt;YEAR(Вводные!$B28),AND(YEAR(B17)=YEAR(Вводные!$B28),MONTH(B17)&gt;=MONTH(Вводные!$B28))),MAX(0,MIN(J17+I17+O17+Q17,Продажи!N17-P17-Q17)),0)</f>
        <v>0</v>
      </c>
      <c r="S17" s="18">
        <f t="shared" si="6"/>
        <v>665074632.41989636</v>
      </c>
      <c r="T17" s="1" t="str">
        <f t="shared" si="7"/>
        <v>Рабочий режим</v>
      </c>
    </row>
    <row r="18" spans="1:20" x14ac:dyDescent="0.25">
      <c r="A18" s="1">
        <v>15</v>
      </c>
      <c r="B18" s="7">
        <v>46478</v>
      </c>
      <c r="C18" s="18">
        <f t="shared" si="0"/>
        <v>797820000</v>
      </c>
      <c r="D18" s="18">
        <f>ГПР!T16</f>
        <v>100811530.21904762</v>
      </c>
      <c r="E18" s="18">
        <f>ГПР!T14</f>
        <v>50405765.10952381</v>
      </c>
      <c r="F18" s="18">
        <f>IF(A18&lt;=Вводные!$B9,Структура_затрат!$H$35/Вводные!$B9,0)</f>
        <v>2764100.7946347469</v>
      </c>
      <c r="G18" s="18">
        <f>(E18+F18)*Вводные!$B18</f>
        <v>7991430.8453950305</v>
      </c>
      <c r="H18" s="18">
        <f t="shared" si="1"/>
        <v>45178435.058763526</v>
      </c>
      <c r="I18" s="18">
        <f t="shared" si="2"/>
        <v>45178435.058763526</v>
      </c>
      <c r="J18" s="18">
        <f t="shared" si="3"/>
        <v>665074632.41989636</v>
      </c>
      <c r="K18" s="18">
        <f>Продажи!L18</f>
        <v>1326965882.0668962</v>
      </c>
      <c r="L18" s="22">
        <f t="shared" si="4"/>
        <v>1.8683001071400032</v>
      </c>
      <c r="M18" s="29">
        <f>IF(L18&gt;1.3,Вводные!$B26,IF(L18&gt;1.2,Вводные!$B25,IF(L18&gt;1.1,Вводные!$B24,IF(L18&gt;=1,Вводные!$B23,Вводные!$B21+Вводные!$B22))))</f>
        <v>1E-4</v>
      </c>
      <c r="N18" s="18">
        <f t="shared" si="5"/>
        <v>5918.7755623221665</v>
      </c>
      <c r="O18" s="18">
        <f>IF(B18&lt;=Вводные!$B27,N18,0)</f>
        <v>5918.7755623221665</v>
      </c>
      <c r="P18" s="18">
        <f>IF(B18&lt;=Вводные!$B27,0,N18)</f>
        <v>0</v>
      </c>
      <c r="Q18" s="18">
        <f>MAX(0,(C18-(J18+I18)))*Вводные!$B20/12</f>
        <v>21162.008692657197</v>
      </c>
      <c r="R18" s="18">
        <f>IF(OR(YEAR(B18)&gt;YEAR(Вводные!$B28),AND(YEAR(B18)=YEAR(Вводные!$B28),MONTH(B18)&gt;=MONTH(Вводные!$B28))),MAX(0,MIN(J18+I18+O18+Q18,Продажи!N18-P18-Q18)),0)</f>
        <v>0</v>
      </c>
      <c r="S18" s="18">
        <f t="shared" si="6"/>
        <v>710280148.26291478</v>
      </c>
      <c r="T18" s="1" t="str">
        <f t="shared" si="7"/>
        <v>Рабочий режим</v>
      </c>
    </row>
    <row r="19" spans="1:20" x14ac:dyDescent="0.25">
      <c r="A19" s="1">
        <v>16</v>
      </c>
      <c r="B19" s="7">
        <v>46508</v>
      </c>
      <c r="C19" s="18">
        <f t="shared" si="0"/>
        <v>797820000</v>
      </c>
      <c r="D19" s="18">
        <f>ГПР!U16</f>
        <v>42425529</v>
      </c>
      <c r="E19" s="18">
        <f>ГПР!U14</f>
        <v>21212764.5</v>
      </c>
      <c r="F19" s="18">
        <f>IF(A19&lt;=Вводные!$B9,Структура_затрат!$H$35/Вводные!$B9,0)</f>
        <v>2764100.7946347469</v>
      </c>
      <c r="G19" s="18">
        <f>(E19+F19)*Вводные!$B18</f>
        <v>3603722.8537836024</v>
      </c>
      <c r="H19" s="18">
        <f t="shared" si="1"/>
        <v>20373142.440851144</v>
      </c>
      <c r="I19" s="18">
        <f t="shared" si="2"/>
        <v>20373142.440851144</v>
      </c>
      <c r="J19" s="18">
        <f t="shared" si="3"/>
        <v>710280148.26291478</v>
      </c>
      <c r="K19" s="18">
        <f>Продажи!L19</f>
        <v>1474187090.4718649</v>
      </c>
      <c r="L19" s="22">
        <f t="shared" si="4"/>
        <v>2.0176287566595734</v>
      </c>
      <c r="M19" s="29">
        <f>IF(L19&gt;1.3,Вводные!$B26,IF(L19&gt;1.2,Вводные!$B25,IF(L19&gt;1.1,Вводные!$B24,IF(L19&gt;=1,Вводные!$B23,Вводные!$B21+Вводные!$B22))))</f>
        <v>1E-4</v>
      </c>
      <c r="N19" s="18">
        <f t="shared" si="5"/>
        <v>6088.7774225313833</v>
      </c>
      <c r="O19" s="18">
        <f>IF(B19&lt;=Вводные!$B27,N19,0)</f>
        <v>6088.7774225313833</v>
      </c>
      <c r="P19" s="18">
        <f>IF(B19&lt;=Вводные!$B27,0,N19)</f>
        <v>0</v>
      </c>
      <c r="Q19" s="18">
        <f>MAX(0,(C19-(J19+I19)))*Вводные!$B20/12</f>
        <v>16231.954746589914</v>
      </c>
      <c r="R19" s="18">
        <f>IF(OR(YEAR(B19)&gt;YEAR(Вводные!$B28),AND(YEAR(B19)=YEAR(Вводные!$B28),MONTH(B19)&gt;=MONTH(Вводные!$B28))),MAX(0,MIN(J19+I19+O19+Q19,Продажи!N19-P19-Q19)),0)</f>
        <v>0</v>
      </c>
      <c r="S19" s="18">
        <f t="shared" si="6"/>
        <v>730675611.43593502</v>
      </c>
      <c r="T19" s="1" t="str">
        <f t="shared" si="7"/>
        <v>Рабочий режим</v>
      </c>
    </row>
    <row r="20" spans="1:20" x14ac:dyDescent="0.25">
      <c r="A20" s="1">
        <v>17</v>
      </c>
      <c r="B20" s="7">
        <v>46539</v>
      </c>
      <c r="C20" s="18">
        <f t="shared" si="0"/>
        <v>797820000</v>
      </c>
      <c r="D20" s="18">
        <f>ГПР!V16</f>
        <v>20655007.333333332</v>
      </c>
      <c r="E20" s="18">
        <f>ГПР!V14</f>
        <v>10327503.666666666</v>
      </c>
      <c r="F20" s="18">
        <f>IF(A20&lt;=Вводные!$B9,Структура_затрат!$H$35/Вводные!$B9,0)</f>
        <v>0</v>
      </c>
      <c r="G20" s="18">
        <f>(E20+F20)*Вводные!$B18</f>
        <v>1552223.8010999998</v>
      </c>
      <c r="H20" s="18">
        <f t="shared" si="1"/>
        <v>8775279.8655666672</v>
      </c>
      <c r="I20" s="18">
        <f t="shared" si="2"/>
        <v>8775279.8655666672</v>
      </c>
      <c r="J20" s="18">
        <f t="shared" si="3"/>
        <v>730675611.43593502</v>
      </c>
      <c r="K20" s="18">
        <f>Продажи!L20</f>
        <v>1474187090.4718649</v>
      </c>
      <c r="L20" s="22">
        <f t="shared" si="4"/>
        <v>1.9936240632250235</v>
      </c>
      <c r="M20" s="29">
        <f>IF(L20&gt;1.3,Вводные!$B26,IF(L20&gt;1.2,Вводные!$B25,IF(L20&gt;1.1,Вводные!$B24,IF(L20&gt;=1,Вводные!$B23,Вводные!$B21+Вводные!$B22))))</f>
        <v>1E-4</v>
      </c>
      <c r="N20" s="18">
        <f t="shared" si="5"/>
        <v>6162.0907608458474</v>
      </c>
      <c r="O20" s="18">
        <f>IF(B20&lt;=Вводные!$B27,N20,0)</f>
        <v>6162.0907608458474</v>
      </c>
      <c r="P20" s="18">
        <f>IF(B20&lt;=Вводные!$B27,0,N20)</f>
        <v>0</v>
      </c>
      <c r="Q20" s="18">
        <f>MAX(0,(C20-(J20+I20)))*Вводные!$B20/12</f>
        <v>14105.867935470438</v>
      </c>
      <c r="R20" s="18">
        <f>IF(OR(YEAR(B20)&gt;YEAR(Вводные!$B28),AND(YEAR(B20)=YEAR(Вводные!$B28),MONTH(B20)&gt;=MONTH(Вводные!$B28))),MAX(0,MIN(J20+I20+O20+Q20,Продажи!N20-P20-Q20)),0)</f>
        <v>0</v>
      </c>
      <c r="S20" s="18">
        <f t="shared" si="6"/>
        <v>739471159.26019788</v>
      </c>
      <c r="T20" s="1" t="str">
        <f t="shared" si="7"/>
        <v>Рабочий режим</v>
      </c>
    </row>
    <row r="21" spans="1:20" x14ac:dyDescent="0.25">
      <c r="A21" s="1">
        <v>18</v>
      </c>
      <c r="B21" s="7">
        <v>46569</v>
      </c>
      <c r="C21" s="18">
        <f t="shared" si="0"/>
        <v>1084000000</v>
      </c>
      <c r="D21" s="18">
        <f>ГПР!W16</f>
        <v>0</v>
      </c>
      <c r="E21" s="18">
        <f>ГПР!W14</f>
        <v>0</v>
      </c>
      <c r="F21" s="18">
        <f>IF(A21&lt;=Вводные!$B9,Структура_затрат!$H$35/Вводные!$B9,0)</f>
        <v>0</v>
      </c>
      <c r="G21" s="18">
        <f>(E21+F21)*Вводные!$B18</f>
        <v>0</v>
      </c>
      <c r="H21" s="18">
        <f t="shared" si="1"/>
        <v>0</v>
      </c>
      <c r="I21" s="18">
        <f t="shared" si="2"/>
        <v>0</v>
      </c>
      <c r="J21" s="18">
        <f t="shared" si="3"/>
        <v>739471159.26019788</v>
      </c>
      <c r="K21" s="18">
        <f>Продажи!L21</f>
        <v>1474187090.4718649</v>
      </c>
      <c r="L21" s="22">
        <f t="shared" si="4"/>
        <v>1.9935694205392835</v>
      </c>
      <c r="M21" s="29">
        <f>IF(L21&gt;1.3,Вводные!$B26,IF(L21&gt;1.2,Вводные!$B25,IF(L21&gt;1.1,Вводные!$B24,IF(L21&gt;=1,Вводные!$B23,Вводные!$B21+Вводные!$B22))))</f>
        <v>1E-4</v>
      </c>
      <c r="N21" s="18">
        <f t="shared" si="5"/>
        <v>6162.2596605016488</v>
      </c>
      <c r="O21" s="18">
        <f>IF(B21&lt;=Вводные!$B27,N21,0)</f>
        <v>6162.2596605016488</v>
      </c>
      <c r="P21" s="18">
        <f>IF(B21&lt;=Вводные!$B27,0,N21)</f>
        <v>0</v>
      </c>
      <c r="Q21" s="18">
        <f>MAX(0,(C21-(J21+I21)))*Вводные!$B20/12</f>
        <v>83261.136512118843</v>
      </c>
      <c r="R21" s="18">
        <f>IF(OR(YEAR(B21)&gt;YEAR(Вводные!$B28),AND(YEAR(B21)=YEAR(Вводные!$B28),MONTH(B21)&gt;=MONTH(Вводные!$B28))),MAX(0,MIN(J21+I21+O21+Q21,Продажи!N21-P21-Q21)),0)</f>
        <v>0</v>
      </c>
      <c r="S21" s="18">
        <f t="shared" si="6"/>
        <v>739560582.65637052</v>
      </c>
      <c r="T21" s="1" t="str">
        <f t="shared" si="7"/>
        <v>Рабочий режим</v>
      </c>
    </row>
    <row r="22" spans="1:20" x14ac:dyDescent="0.25">
      <c r="A22" s="1">
        <v>19</v>
      </c>
      <c r="B22" s="7">
        <v>46600</v>
      </c>
      <c r="C22" s="18">
        <f t="shared" si="0"/>
        <v>1084000000</v>
      </c>
      <c r="D22" s="18">
        <f>ГПР!X16</f>
        <v>0</v>
      </c>
      <c r="E22" s="18">
        <f>ГПР!X14</f>
        <v>0</v>
      </c>
      <c r="F22" s="18">
        <f>IF(A22&lt;=Вводные!$B9,Структура_затрат!$H$35/Вводные!$B9,0)</f>
        <v>0</v>
      </c>
      <c r="G22" s="18">
        <f>(E22+F22)*Вводные!$B18</f>
        <v>0</v>
      </c>
      <c r="H22" s="18">
        <f t="shared" si="1"/>
        <v>0</v>
      </c>
      <c r="I22" s="18">
        <f t="shared" si="2"/>
        <v>0</v>
      </c>
      <c r="J22" s="18">
        <f t="shared" si="3"/>
        <v>739560582.65637052</v>
      </c>
      <c r="K22" s="18">
        <f>Продажи!L22</f>
        <v>1474187090.4718649</v>
      </c>
      <c r="L22" s="22">
        <f t="shared" si="4"/>
        <v>1.9933283696338253</v>
      </c>
      <c r="M22" s="29">
        <f>IF(L22&gt;1.3,Вводные!$B26,IF(L22&gt;1.2,Вводные!$B25,IF(L22&gt;1.1,Вводные!$B24,IF(L22&gt;=1,Вводные!$B23,Вводные!$B21+Вводные!$B22))))</f>
        <v>1E-4</v>
      </c>
      <c r="N22" s="18">
        <f t="shared" si="5"/>
        <v>6163.0048554697541</v>
      </c>
      <c r="O22" s="18">
        <f>IF(B22&lt;=Вводные!$B27,N22,0)</f>
        <v>0</v>
      </c>
      <c r="P22" s="18">
        <f>IF(B22&lt;=Вводные!$B27,0,N22)</f>
        <v>6163.0048554697541</v>
      </c>
      <c r="Q22" s="18">
        <f>MAX(0,(C22-(J22+I22)))*Вводные!$B20/12</f>
        <v>83239.52585804378</v>
      </c>
      <c r="R22" s="18">
        <f>IF(OR(YEAR(B22)&gt;YEAR(Вводные!$B28),AND(YEAR(B22)=YEAR(Вводные!$B28),MONTH(B22)&gt;=MONTH(Вводные!$B28))),MAX(0,MIN(J22+I22+O22+Q22,Продажи!N22-P22-Q22)),0)</f>
        <v>0</v>
      </c>
      <c r="S22" s="18">
        <f t="shared" si="6"/>
        <v>739643822.18222857</v>
      </c>
      <c r="T22" s="1" t="str">
        <f t="shared" si="7"/>
        <v>Рабочий режим</v>
      </c>
    </row>
    <row r="23" spans="1:20" x14ac:dyDescent="0.25">
      <c r="A23" s="1">
        <v>20</v>
      </c>
      <c r="B23" s="7">
        <v>46631</v>
      </c>
      <c r="C23" s="18">
        <f t="shared" si="0"/>
        <v>1084000000</v>
      </c>
      <c r="D23" s="18">
        <f>ГПР!Y16</f>
        <v>0</v>
      </c>
      <c r="E23" s="18">
        <f>ГПР!Y14</f>
        <v>0</v>
      </c>
      <c r="F23" s="18">
        <f>IF(A23&lt;=Вводные!$B9,Структура_затрат!$H$35/Вводные!$B9,0)</f>
        <v>0</v>
      </c>
      <c r="G23" s="18">
        <f>(E23+F23)*Вводные!$B18</f>
        <v>0</v>
      </c>
      <c r="H23" s="18">
        <f t="shared" si="1"/>
        <v>0</v>
      </c>
      <c r="I23" s="18">
        <f t="shared" si="2"/>
        <v>0</v>
      </c>
      <c r="J23" s="18">
        <f t="shared" si="3"/>
        <v>739643822.18222857</v>
      </c>
      <c r="K23" s="18">
        <f>Продажи!L23</f>
        <v>1474187090.4718649</v>
      </c>
      <c r="L23" s="22">
        <f t="shared" si="4"/>
        <v>1.9931040404318614</v>
      </c>
      <c r="M23" s="29">
        <f>IF(L23&gt;1.3,Вводные!$B26,IF(L23&gt;1.2,Вводные!$B25,IF(L23&gt;1.1,Вводные!$B24,IF(L23&gt;=1,Вводные!$B23,Вводные!$B21+Вводные!$B22))))</f>
        <v>1E-4</v>
      </c>
      <c r="N23" s="18">
        <f t="shared" si="5"/>
        <v>6163.6985181852388</v>
      </c>
      <c r="O23" s="18">
        <f>IF(B23&lt;=Вводные!$B27,N23,0)</f>
        <v>0</v>
      </c>
      <c r="P23" s="18">
        <f>IF(B23&lt;=Вводные!$B27,0,N23)</f>
        <v>6163.6985181852388</v>
      </c>
      <c r="Q23" s="18">
        <f>MAX(0,(C23-(J23+I23)))*Вводные!$B20/12</f>
        <v>83219.409639294754</v>
      </c>
      <c r="R23" s="18">
        <f>IF(OR(YEAR(B23)&gt;YEAR(Вводные!$B28),AND(YEAR(B23)=YEAR(Вводные!$B28),MONTH(B23)&gt;=MONTH(Вводные!$B28))),MAX(0,MIN(J23+I23+O23+Q23,Продажи!N23-P23-Q23)),0)</f>
        <v>0</v>
      </c>
      <c r="S23" s="18">
        <f t="shared" si="6"/>
        <v>739727041.5918678</v>
      </c>
      <c r="T23" s="1" t="str">
        <f t="shared" si="7"/>
        <v>Рабочий режим</v>
      </c>
    </row>
    <row r="24" spans="1:20" x14ac:dyDescent="0.25">
      <c r="A24" s="1">
        <v>21</v>
      </c>
      <c r="B24" s="7">
        <v>46661</v>
      </c>
      <c r="C24" s="18">
        <f t="shared" si="0"/>
        <v>1084000000</v>
      </c>
      <c r="D24" s="18">
        <f>ГПР!Z16</f>
        <v>0</v>
      </c>
      <c r="E24" s="18">
        <f>ГПР!Z14</f>
        <v>0</v>
      </c>
      <c r="F24" s="18">
        <f>IF(A24&lt;=Вводные!$B9,Структура_затрат!$H$35/Вводные!$B9,0)</f>
        <v>0</v>
      </c>
      <c r="G24" s="18">
        <f>(E24+F24)*Вводные!$B18</f>
        <v>0</v>
      </c>
      <c r="H24" s="18">
        <f t="shared" si="1"/>
        <v>0</v>
      </c>
      <c r="I24" s="18">
        <f t="shared" si="2"/>
        <v>0</v>
      </c>
      <c r="J24" s="18">
        <f t="shared" si="3"/>
        <v>739727041.5918678</v>
      </c>
      <c r="K24" s="18">
        <f>Продажи!L24</f>
        <v>1474187090.4718649</v>
      </c>
      <c r="L24" s="22">
        <f t="shared" si="4"/>
        <v>1.9928798159108307</v>
      </c>
      <c r="M24" s="29">
        <f>IF(L24&gt;1.3,Вводные!$B26,IF(L24&gt;1.2,Вводные!$B25,IF(L24&gt;1.1,Вводные!$B24,IF(L24&gt;=1,Вводные!$B23,Вводные!$B21+Вводные!$B22))))</f>
        <v>1E-4</v>
      </c>
      <c r="N24" s="18">
        <f t="shared" si="5"/>
        <v>6164.3920132655658</v>
      </c>
      <c r="O24" s="18">
        <f>IF(B24&lt;=Вводные!$B27,N24,0)</f>
        <v>0</v>
      </c>
      <c r="P24" s="18">
        <f>IF(B24&lt;=Вводные!$B27,0,N24)</f>
        <v>6164.3920132655658</v>
      </c>
      <c r="Q24" s="18">
        <f>MAX(0,(C24-(J24+I24)))*Вводные!$B20/12</f>
        <v>83199.298281965268</v>
      </c>
      <c r="R24" s="18">
        <f>IF(OR(YEAR(B24)&gt;YEAR(Вводные!$B28),AND(YEAR(B24)=YEAR(Вводные!$B28),MONTH(B24)&gt;=MONTH(Вводные!$B28))),MAX(0,MIN(J24+I24+O24+Q24,Продажи!N24-P24-Q24)),0)</f>
        <v>0</v>
      </c>
      <c r="S24" s="18">
        <f t="shared" si="6"/>
        <v>739810240.89014971</v>
      </c>
      <c r="T24" s="1" t="str">
        <f t="shared" si="7"/>
        <v>Рабочий режим</v>
      </c>
    </row>
    <row r="25" spans="1:20" x14ac:dyDescent="0.25">
      <c r="A25" s="1">
        <v>22</v>
      </c>
      <c r="B25" s="7">
        <v>46692</v>
      </c>
      <c r="C25" s="18">
        <f t="shared" si="0"/>
        <v>1084000000</v>
      </c>
      <c r="D25" s="18">
        <f>ГПР!AA16</f>
        <v>0</v>
      </c>
      <c r="E25" s="18">
        <f>ГПР!AA14</f>
        <v>0</v>
      </c>
      <c r="F25" s="18">
        <f>IF(A25&lt;=Вводные!$B9,Структура_затрат!$H$35/Вводные!$B9,0)</f>
        <v>0</v>
      </c>
      <c r="G25" s="18">
        <f>(E25+F25)*Вводные!$B18</f>
        <v>0</v>
      </c>
      <c r="H25" s="18">
        <f t="shared" si="1"/>
        <v>0</v>
      </c>
      <c r="I25" s="18">
        <f t="shared" si="2"/>
        <v>0</v>
      </c>
      <c r="J25" s="18">
        <f t="shared" si="3"/>
        <v>739810240.89014971</v>
      </c>
      <c r="K25" s="18">
        <f>Продажи!L25</f>
        <v>1474187090.4718649</v>
      </c>
      <c r="L25" s="22">
        <f t="shared" si="4"/>
        <v>1.9926556960040227</v>
      </c>
      <c r="M25" s="29">
        <f>IF(L25&gt;1.3,Вводные!$B26,IF(L25&gt;1.2,Вводные!$B25,IF(L25&gt;1.1,Вводные!$B24,IF(L25&gt;=1,Вводные!$B23,Вводные!$B21+Вводные!$B22))))</f>
        <v>1E-4</v>
      </c>
      <c r="N25" s="18">
        <f t="shared" si="5"/>
        <v>6165.0853407512477</v>
      </c>
      <c r="O25" s="18">
        <f>IF(B25&lt;=Вводные!$B27,N25,0)</f>
        <v>0</v>
      </c>
      <c r="P25" s="18">
        <f>IF(B25&lt;=Вводные!$B27,0,N25)</f>
        <v>6165.0853407512477</v>
      </c>
      <c r="Q25" s="18">
        <f>MAX(0,(C25-(J25+I25)))*Вводные!$B20/12</f>
        <v>83179.191784880488</v>
      </c>
      <c r="R25" s="18">
        <f>IF(OR(YEAR(B25)&gt;YEAR(Вводные!$B28),AND(YEAR(B25)=YEAR(Вводные!$B28),MONTH(B25)&gt;=MONTH(Вводные!$B28))),MAX(0,MIN(J25+I25+O25+Q25,Продажи!N25-P25-Q25)),0)</f>
        <v>0</v>
      </c>
      <c r="S25" s="18">
        <f t="shared" si="6"/>
        <v>739893420.08193457</v>
      </c>
      <c r="T25" s="1" t="str">
        <f t="shared" si="7"/>
        <v>Рабочий режим</v>
      </c>
    </row>
    <row r="26" spans="1:20" x14ac:dyDescent="0.25">
      <c r="A26" s="1">
        <v>23</v>
      </c>
      <c r="B26" s="7">
        <v>46722</v>
      </c>
      <c r="C26" s="18">
        <f t="shared" si="0"/>
        <v>1084000000</v>
      </c>
      <c r="D26" s="18">
        <f>ГПР!AB16</f>
        <v>0</v>
      </c>
      <c r="E26" s="18">
        <f>ГПР!AB14</f>
        <v>0</v>
      </c>
      <c r="F26" s="18">
        <f>IF(A26&lt;=Вводные!$B9,Структура_затрат!$H$35/Вводные!$B9,0)</f>
        <v>0</v>
      </c>
      <c r="G26" s="18">
        <f>(E26+F26)*Вводные!$B18</f>
        <v>0</v>
      </c>
      <c r="H26" s="18">
        <f t="shared" si="1"/>
        <v>0</v>
      </c>
      <c r="I26" s="18">
        <f t="shared" si="2"/>
        <v>0</v>
      </c>
      <c r="J26" s="18">
        <f t="shared" si="3"/>
        <v>739893420.08193457</v>
      </c>
      <c r="K26" s="18">
        <f>Продажи!L26</f>
        <v>1474187090.4718649</v>
      </c>
      <c r="L26" s="22">
        <f t="shared" si="4"/>
        <v>1.9924316806447824</v>
      </c>
      <c r="M26" s="29">
        <f>IF(L26&gt;1.3,Вводные!$B26,IF(L26&gt;1.2,Вводные!$B25,IF(L26&gt;1.1,Вводные!$B24,IF(L26&gt;=1,Вводные!$B23,Вводные!$B21+Вводные!$B22))))</f>
        <v>1E-4</v>
      </c>
      <c r="N26" s="18">
        <f t="shared" si="5"/>
        <v>6165.778500682788</v>
      </c>
      <c r="O26" s="18">
        <f>IF(B26&lt;=Вводные!$B27,N26,0)</f>
        <v>0</v>
      </c>
      <c r="P26" s="18">
        <f>IF(B26&lt;=Вводные!$B27,0,N26)</f>
        <v>6165.778500682788</v>
      </c>
      <c r="Q26" s="18">
        <f>MAX(0,(C26-(J26+I26)))*Вводные!$B20/12</f>
        <v>83159.090146865798</v>
      </c>
      <c r="R26" s="18">
        <f>IF(OR(YEAR(B26)&gt;YEAR(Вводные!$B28),AND(YEAR(B26)=YEAR(Вводные!$B28),MONTH(B26)&gt;=MONTH(Вводные!$B28))),MAX(0,MIN(J26+I26+O26+Q26,Продажи!N26-P26-Q26)),0)</f>
        <v>0</v>
      </c>
      <c r="S26" s="18">
        <f t="shared" si="6"/>
        <v>739976579.17208147</v>
      </c>
      <c r="T26" s="1" t="str">
        <f t="shared" si="7"/>
        <v>Рабочий режим</v>
      </c>
    </row>
    <row r="27" spans="1:20" x14ac:dyDescent="0.25">
      <c r="A27" s="1">
        <v>24</v>
      </c>
      <c r="B27" s="7">
        <v>46753</v>
      </c>
      <c r="C27" s="18">
        <f t="shared" si="0"/>
        <v>1084000000</v>
      </c>
      <c r="D27" s="18">
        <f>ГПР!AC16</f>
        <v>0</v>
      </c>
      <c r="E27" s="18">
        <f>ГПР!AC14</f>
        <v>0</v>
      </c>
      <c r="F27" s="18">
        <f>IF(A27&lt;=Вводные!$B9,Структура_затрат!$H$35/Вводные!$B9,0)</f>
        <v>0</v>
      </c>
      <c r="G27" s="18">
        <f>(E27+F27)*Вводные!$B18</f>
        <v>0</v>
      </c>
      <c r="H27" s="18">
        <f t="shared" si="1"/>
        <v>0</v>
      </c>
      <c r="I27" s="18">
        <f t="shared" si="2"/>
        <v>0</v>
      </c>
      <c r="J27" s="18">
        <f t="shared" si="3"/>
        <v>739976579.17208147</v>
      </c>
      <c r="K27" s="18">
        <f>Продажи!L27</f>
        <v>1474187090.4718649</v>
      </c>
      <c r="L27" s="22">
        <f t="shared" si="4"/>
        <v>1.9922077697665117</v>
      </c>
      <c r="M27" s="29">
        <f>IF(L27&gt;1.3,Вводные!$B26,IF(L27&gt;1.2,Вводные!$B25,IF(L27&gt;1.1,Вводные!$B24,IF(L27&gt;=1,Вводные!$B23,Вводные!$B21+Вводные!$B22))))</f>
        <v>1E-4</v>
      </c>
      <c r="N27" s="18">
        <f t="shared" si="5"/>
        <v>6166.4714931006793</v>
      </c>
      <c r="O27" s="18">
        <f>IF(B27&lt;=Вводные!$B27,N27,0)</f>
        <v>0</v>
      </c>
      <c r="P27" s="18">
        <f>IF(B27&lt;=Вводные!$B27,0,N27)</f>
        <v>6166.4714931006793</v>
      </c>
      <c r="Q27" s="18">
        <f>MAX(0,(C27-(J27+I27)))*Вводные!$B20/12</f>
        <v>83138.993366746974</v>
      </c>
      <c r="R27" s="18">
        <f>IF(OR(YEAR(B27)&gt;YEAR(Вводные!$B28),AND(YEAR(B27)=YEAR(Вводные!$B28),MONTH(B27)&gt;=MONTH(Вводные!$B28))),MAX(0,MIN(J27+I27+O27+Q27,Продажи!N27-P27-Q27)),0)</f>
        <v>0</v>
      </c>
      <c r="S27" s="18">
        <f t="shared" si="6"/>
        <v>740059718.16544819</v>
      </c>
      <c r="T27" s="1" t="str">
        <f t="shared" si="7"/>
        <v>Рабочий режим</v>
      </c>
    </row>
    <row r="28" spans="1:20" x14ac:dyDescent="0.25">
      <c r="A28" s="1">
        <v>25</v>
      </c>
      <c r="B28" s="7">
        <v>46784</v>
      </c>
      <c r="C28" s="18">
        <f t="shared" si="0"/>
        <v>1084000000</v>
      </c>
      <c r="D28" s="18">
        <f>ГПР!AD16</f>
        <v>0</v>
      </c>
      <c r="E28" s="18">
        <f>ГПР!AD14</f>
        <v>0</v>
      </c>
      <c r="F28" s="18">
        <f>IF(A28&lt;=Вводные!$B9,Структура_затрат!$H$35/Вводные!$B9,0)</f>
        <v>0</v>
      </c>
      <c r="G28" s="18">
        <f>(E28+F28)*Вводные!$B18</f>
        <v>0</v>
      </c>
      <c r="H28" s="18">
        <f t="shared" si="1"/>
        <v>0</v>
      </c>
      <c r="I28" s="18">
        <f t="shared" si="2"/>
        <v>0</v>
      </c>
      <c r="J28" s="18">
        <f t="shared" si="3"/>
        <v>740059718.16544819</v>
      </c>
      <c r="K28" s="18">
        <f>Продажи!L28</f>
        <v>1474187090.4718649</v>
      </c>
      <c r="L28" s="22">
        <f t="shared" si="4"/>
        <v>1.9919839633026679</v>
      </c>
      <c r="M28" s="29">
        <f>IF(L28&gt;1.3,Вводные!$B26,IF(L28&gt;1.2,Вводные!$B25,IF(L28&gt;1.1,Вводные!$B24,IF(L28&gt;=1,Вводные!$B23,Вводные!$B21+Вводные!$B22))))</f>
        <v>1E-4</v>
      </c>
      <c r="N28" s="18">
        <f t="shared" si="5"/>
        <v>6167.1643180454021</v>
      </c>
      <c r="O28" s="18">
        <f>IF(B28&lt;=Вводные!$B27,N28,0)</f>
        <v>0</v>
      </c>
      <c r="P28" s="18">
        <f>IF(B28&lt;=Вводные!$B27,0,N28)</f>
        <v>6167.1643180454021</v>
      </c>
      <c r="Q28" s="18">
        <f>MAX(0,(C28-(J28+I28)))*Вводные!$B20/12</f>
        <v>83118.901443350012</v>
      </c>
      <c r="R28" s="18">
        <f>IF(OR(YEAR(B28)&gt;YEAR(Вводные!$B28),AND(YEAR(B28)=YEAR(Вводные!$B28),MONTH(B28)&gt;=MONTH(Вводные!$B28))),MAX(0,MIN(J28+I28+O28+Q28,Продажи!N28-P28-Q28)),0)</f>
        <v>0</v>
      </c>
      <c r="S28" s="18">
        <f t="shared" si="6"/>
        <v>740142837.06689155</v>
      </c>
      <c r="T28" s="1" t="str">
        <f t="shared" si="7"/>
        <v>Рабочий режим</v>
      </c>
    </row>
    <row r="29" spans="1:20" x14ac:dyDescent="0.25">
      <c r="A29" s="1">
        <v>26</v>
      </c>
      <c r="B29" s="7">
        <v>46813</v>
      </c>
      <c r="C29" s="18">
        <f t="shared" si="0"/>
        <v>1084000000</v>
      </c>
      <c r="D29" s="18">
        <f>ГПР!AE16</f>
        <v>0</v>
      </c>
      <c r="E29" s="18">
        <f>ГПР!AE14</f>
        <v>0</v>
      </c>
      <c r="F29" s="18">
        <f>IF(A29&lt;=Вводные!$B9,Структура_затрат!$H$35/Вводные!$B9,0)</f>
        <v>0</v>
      </c>
      <c r="G29" s="18">
        <f>(E29+F29)*Вводные!$B18</f>
        <v>0</v>
      </c>
      <c r="H29" s="18">
        <f t="shared" si="1"/>
        <v>0</v>
      </c>
      <c r="I29" s="18">
        <f t="shared" si="2"/>
        <v>0</v>
      </c>
      <c r="J29" s="18">
        <f t="shared" si="3"/>
        <v>740142837.06689155</v>
      </c>
      <c r="K29" s="18">
        <f>Продажи!L29</f>
        <v>1474187090.4718649</v>
      </c>
      <c r="L29" s="22">
        <f t="shared" si="4"/>
        <v>1.9917602611867646</v>
      </c>
      <c r="M29" s="29">
        <f>IF(L29&gt;1.3,Вводные!$B26,IF(L29&gt;1.2,Вводные!$B25,IF(L29&gt;1.1,Вводные!$B24,IF(L29&gt;=1,Вводные!$B23,Вводные!$B21+Вводные!$B22))))</f>
        <v>1E-4</v>
      </c>
      <c r="N29" s="18">
        <f t="shared" si="5"/>
        <v>6167.856975557429</v>
      </c>
      <c r="O29" s="18">
        <f>IF(B29&lt;=Вводные!$B27,N29,0)</f>
        <v>0</v>
      </c>
      <c r="P29" s="18">
        <f>IF(B29&lt;=Вводные!$B27,0,N29)</f>
        <v>6167.856975557429</v>
      </c>
      <c r="Q29" s="18">
        <f>MAX(0,(C29-(J29+I29)))*Вводные!$B20/12</f>
        <v>83098.814375501199</v>
      </c>
      <c r="R29" s="18">
        <f>IF(OR(YEAR(B29)&gt;YEAR(Вводные!$B28),AND(YEAR(B29)=YEAR(Вводные!$B28),MONTH(B29)&gt;=MONTH(Вводные!$B28))),MAX(0,MIN(J29+I29+O29+Q29,Продажи!N29-P29-Q29)),0)</f>
        <v>0</v>
      </c>
      <c r="S29" s="18">
        <f t="shared" si="6"/>
        <v>740225935.88126707</v>
      </c>
      <c r="T29" s="1" t="str">
        <f t="shared" si="7"/>
        <v>Рабочий режим</v>
      </c>
    </row>
    <row r="30" spans="1:20" x14ac:dyDescent="0.25">
      <c r="A30" s="1">
        <v>27</v>
      </c>
      <c r="B30" s="7">
        <v>46844</v>
      </c>
      <c r="C30" s="18">
        <f t="shared" si="0"/>
        <v>1084000000</v>
      </c>
      <c r="D30" s="18">
        <f>ГПР!AF16</f>
        <v>0</v>
      </c>
      <c r="E30" s="18">
        <f>ГПР!AF14</f>
        <v>0</v>
      </c>
      <c r="F30" s="18">
        <f>IF(A30&lt;=Вводные!$B9,Структура_затрат!$H$35/Вводные!$B9,0)</f>
        <v>0</v>
      </c>
      <c r="G30" s="18">
        <f>(E30+F30)*Вводные!$B18</f>
        <v>0</v>
      </c>
      <c r="H30" s="18">
        <f t="shared" si="1"/>
        <v>0</v>
      </c>
      <c r="I30" s="18">
        <f t="shared" si="2"/>
        <v>0</v>
      </c>
      <c r="J30" s="18">
        <f t="shared" si="3"/>
        <v>740225935.88126707</v>
      </c>
      <c r="K30" s="18">
        <f>Продажи!L30</f>
        <v>1474187090.4718649</v>
      </c>
      <c r="L30" s="22">
        <f t="shared" si="4"/>
        <v>1.9915366633523712</v>
      </c>
      <c r="M30" s="29">
        <f>IF(L30&gt;1.3,Вводные!$B26,IF(L30&gt;1.2,Вводные!$B25,IF(L30&gt;1.1,Вводные!$B24,IF(L30&gt;=1,Вводные!$B23,Вводные!$B21+Вводные!$B22))))</f>
        <v>1E-4</v>
      </c>
      <c r="N30" s="18">
        <f t="shared" si="5"/>
        <v>6168.5494656772253</v>
      </c>
      <c r="O30" s="18">
        <f>IF(B30&lt;=Вводные!$B27,N30,0)</f>
        <v>0</v>
      </c>
      <c r="P30" s="18">
        <f>IF(B30&lt;=Вводные!$B27,0,N30)</f>
        <v>6168.5494656772253</v>
      </c>
      <c r="Q30" s="18">
        <f>MAX(0,(C30-(J30+I30)))*Вводные!$B20/12</f>
        <v>83078.73216202711</v>
      </c>
      <c r="R30" s="18">
        <f>IF(OR(YEAR(B30)&gt;YEAR(Вводные!$B28),AND(YEAR(B30)=YEAR(Вводные!$B28),MONTH(B30)&gt;=MONTH(Вводные!$B28))),MAX(0,MIN(J30+I30+O30+Q30,Продажи!N30-P30-Q30)),0)</f>
        <v>0</v>
      </c>
      <c r="S30" s="18">
        <f t="shared" si="6"/>
        <v>740309014.61342907</v>
      </c>
      <c r="T30" s="1" t="str">
        <f t="shared" si="7"/>
        <v>Рабочий режим</v>
      </c>
    </row>
    <row r="31" spans="1:20" x14ac:dyDescent="0.25">
      <c r="A31" s="1">
        <v>28</v>
      </c>
      <c r="B31" s="7">
        <v>46874</v>
      </c>
      <c r="C31" s="18">
        <f t="shared" si="0"/>
        <v>1084000000</v>
      </c>
      <c r="D31" s="18">
        <f>ГПР!AG16</f>
        <v>0</v>
      </c>
      <c r="E31" s="18">
        <f>ГПР!AG14</f>
        <v>0</v>
      </c>
      <c r="F31" s="18">
        <f>IF(A31&lt;=Вводные!$B9,Структура_затрат!$H$35/Вводные!$B9,0)</f>
        <v>0</v>
      </c>
      <c r="G31" s="18">
        <f>(E31+F31)*Вводные!$B18</f>
        <v>0</v>
      </c>
      <c r="H31" s="18">
        <f t="shared" si="1"/>
        <v>0</v>
      </c>
      <c r="I31" s="18">
        <f t="shared" si="2"/>
        <v>0</v>
      </c>
      <c r="J31" s="18">
        <f t="shared" si="3"/>
        <v>740309014.61342907</v>
      </c>
      <c r="K31" s="18">
        <f>Продажи!L31</f>
        <v>1474187090.4718649</v>
      </c>
      <c r="L31" s="22">
        <f t="shared" si="4"/>
        <v>1.991313169733113</v>
      </c>
      <c r="M31" s="29">
        <f>IF(L31&gt;1.3,Вводные!$B26,IF(L31&gt;1.2,Вводные!$B25,IF(L31&gt;1.1,Вводные!$B24,IF(L31&gt;=1,Вводные!$B23,Вводные!$B21+Вводные!$B22))))</f>
        <v>1E-4</v>
      </c>
      <c r="N31" s="18">
        <f t="shared" si="5"/>
        <v>6169.2417884452434</v>
      </c>
      <c r="O31" s="18">
        <f>IF(B31&lt;=Вводные!$B27,N31,0)</f>
        <v>0</v>
      </c>
      <c r="P31" s="18">
        <f>IF(B31&lt;=Вводные!$B27,0,N31)</f>
        <v>6169.2417884452434</v>
      </c>
      <c r="Q31" s="18">
        <f>MAX(0,(C31-(J31+I31)))*Вводные!$B20/12</f>
        <v>83058.654801754645</v>
      </c>
      <c r="R31" s="18">
        <f>IF(OR(YEAR(B31)&gt;YEAR(Вводные!$B28),AND(YEAR(B31)=YEAR(Вводные!$B28),MONTH(B31)&gt;=MONTH(Вводные!$B28))),MAX(0,MIN(J31+I31+O31+Q31,Продажи!N31-P31-Q31)),0)</f>
        <v>0</v>
      </c>
      <c r="S31" s="18">
        <f t="shared" si="6"/>
        <v>740392073.2682308</v>
      </c>
      <c r="T31" s="1" t="str">
        <f t="shared" si="7"/>
        <v>Рабочий режим</v>
      </c>
    </row>
    <row r="32" spans="1:20" x14ac:dyDescent="0.25">
      <c r="A32" s="1">
        <v>29</v>
      </c>
      <c r="B32" s="7">
        <v>46905</v>
      </c>
      <c r="C32" s="18">
        <f t="shared" si="0"/>
        <v>1084000000</v>
      </c>
      <c r="D32" s="18">
        <f>ГПР!AH16</f>
        <v>0</v>
      </c>
      <c r="E32" s="18">
        <f>ГПР!AH14</f>
        <v>0</v>
      </c>
      <c r="F32" s="18">
        <f>IF(A32&lt;=Вводные!$B9,Структура_затрат!$H$35/Вводные!$B9,0)</f>
        <v>0</v>
      </c>
      <c r="G32" s="18">
        <f>(E32+F32)*Вводные!$B18</f>
        <v>0</v>
      </c>
      <c r="H32" s="18">
        <f t="shared" si="1"/>
        <v>0</v>
      </c>
      <c r="I32" s="18">
        <f t="shared" si="2"/>
        <v>0</v>
      </c>
      <c r="J32" s="18">
        <f t="shared" si="3"/>
        <v>740392073.2682308</v>
      </c>
      <c r="K32" s="18">
        <f>Продажи!L32</f>
        <v>1474187090.4718649</v>
      </c>
      <c r="L32" s="22">
        <f t="shared" si="4"/>
        <v>1.9910897802626708</v>
      </c>
      <c r="M32" s="29">
        <f>IF(L32&gt;1.3,Вводные!$B26,IF(L32&gt;1.2,Вводные!$B25,IF(L32&gt;1.1,Вводные!$B24,IF(L32&gt;=1,Вводные!$B23,Вводные!$B21+Вводные!$B22))))</f>
        <v>1E-4</v>
      </c>
      <c r="N32" s="18">
        <f t="shared" si="5"/>
        <v>6169.9339439019241</v>
      </c>
      <c r="O32" s="18">
        <f>IF(B32&lt;=Вводные!$B27,N32,0)</f>
        <v>0</v>
      </c>
      <c r="P32" s="18">
        <f>IF(B32&lt;=Вводные!$B27,0,N32)</f>
        <v>6169.9339439019241</v>
      </c>
      <c r="Q32" s="18">
        <f>MAX(0,(C32-(J32+I32)))*Вводные!$B20/12</f>
        <v>83038.582293510888</v>
      </c>
      <c r="R32" s="18">
        <f>IF(OR(YEAR(B32)&gt;YEAR(Вводные!$B28),AND(YEAR(B32)=YEAR(Вводные!$B28),MONTH(B32)&gt;=MONTH(Вводные!$B28))),MAX(0,MIN(J32+I32+O32+Q32,Продажи!N32-P32-Q32)),0)</f>
        <v>0</v>
      </c>
      <c r="S32" s="18">
        <f t="shared" si="6"/>
        <v>740475111.85052431</v>
      </c>
      <c r="T32" s="1" t="str">
        <f t="shared" si="7"/>
        <v>Рабочий режим</v>
      </c>
    </row>
    <row r="33" spans="1:20" x14ac:dyDescent="0.25">
      <c r="A33" s="1">
        <v>30</v>
      </c>
      <c r="B33" s="7">
        <v>46935</v>
      </c>
      <c r="C33" s="18">
        <f t="shared" si="0"/>
        <v>1084000000</v>
      </c>
      <c r="D33" s="18">
        <f>ГПР!AI16</f>
        <v>0</v>
      </c>
      <c r="E33" s="18">
        <f>ГПР!AI14</f>
        <v>0</v>
      </c>
      <c r="F33" s="18">
        <f>IF(A33&lt;=Вводные!$B9,Структура_затрат!$H$35/Вводные!$B9,0)</f>
        <v>0</v>
      </c>
      <c r="G33" s="18">
        <f>(E33+F33)*Вводные!$B18</f>
        <v>0</v>
      </c>
      <c r="H33" s="18">
        <f t="shared" si="1"/>
        <v>0</v>
      </c>
      <c r="I33" s="18">
        <f t="shared" si="2"/>
        <v>0</v>
      </c>
      <c r="J33" s="18">
        <f t="shared" si="3"/>
        <v>740475111.85052431</v>
      </c>
      <c r="K33" s="18">
        <f>Продажи!L33</f>
        <v>1474187090.4718649</v>
      </c>
      <c r="L33" s="22">
        <f t="shared" si="4"/>
        <v>1.9908664948747812</v>
      </c>
      <c r="M33" s="29">
        <f>IF(L33&gt;1.3,Вводные!$B26,IF(L33&gt;1.2,Вводные!$B25,IF(L33&gt;1.1,Вводные!$B24,IF(L33&gt;=1,Вводные!$B23,Вводные!$B21+Вводные!$B22))))</f>
        <v>1E-4</v>
      </c>
      <c r="N33" s="18">
        <f t="shared" si="5"/>
        <v>6170.6259320877034</v>
      </c>
      <c r="O33" s="18">
        <f>IF(B33&lt;=Вводные!$B27,N33,0)</f>
        <v>0</v>
      </c>
      <c r="P33" s="18">
        <f>IF(B33&lt;=Вводные!$B27,0,N33)</f>
        <v>6170.6259320877034</v>
      </c>
      <c r="Q33" s="18">
        <f>MAX(0,(C33-(J33+I33)))*Вводные!$B20/12</f>
        <v>83018.514636123291</v>
      </c>
      <c r="R33" s="18">
        <f>IF(OR(YEAR(B33)&gt;YEAR(Вводные!$B28),AND(YEAR(B33)=YEAR(Вводные!$B28),MONTH(B33)&gt;=MONTH(Вводные!$B28))),MAX(0,MIN(J33+I33+O33+Q33,Продажи!N33-P33-Q33)),0)</f>
        <v>0</v>
      </c>
      <c r="S33" s="18">
        <f t="shared" si="6"/>
        <v>740558130.36516047</v>
      </c>
      <c r="T33" s="1" t="str">
        <f t="shared" si="7"/>
        <v>Рабочий режим</v>
      </c>
    </row>
    <row r="34" spans="1:20" x14ac:dyDescent="0.25">
      <c r="A34" s="1">
        <v>31</v>
      </c>
      <c r="B34" s="7">
        <v>46966</v>
      </c>
      <c r="C34" s="18">
        <f t="shared" si="0"/>
        <v>1084000000</v>
      </c>
      <c r="D34" s="18">
        <f>ГПР!AJ16</f>
        <v>0</v>
      </c>
      <c r="E34" s="18">
        <f>ГПР!AJ14</f>
        <v>0</v>
      </c>
      <c r="F34" s="18">
        <f>IF(A34&lt;=Вводные!$B9,Структура_затрат!$H$35/Вводные!$B9,0)</f>
        <v>0</v>
      </c>
      <c r="G34" s="18">
        <f>(E34+F34)*Вводные!$B18</f>
        <v>0</v>
      </c>
      <c r="H34" s="18">
        <f t="shared" si="1"/>
        <v>0</v>
      </c>
      <c r="I34" s="18">
        <f t="shared" si="2"/>
        <v>0</v>
      </c>
      <c r="J34" s="18">
        <f t="shared" si="3"/>
        <v>740558130.36516047</v>
      </c>
      <c r="K34" s="18">
        <f>Продажи!L34</f>
        <v>1474187090.4718649</v>
      </c>
      <c r="L34" s="22">
        <f t="shared" si="4"/>
        <v>1.9906433135032366</v>
      </c>
      <c r="M34" s="29">
        <f>IF(L34&gt;1.3,Вводные!$B26,IF(L34&gt;1.2,Вводные!$B25,IF(L34&gt;1.1,Вводные!$B24,IF(L34&gt;=1,Вводные!$B23,Вводные!$B21+Вводные!$B22))))</f>
        <v>1E-4</v>
      </c>
      <c r="N34" s="18">
        <f t="shared" si="5"/>
        <v>6171.3177530430039</v>
      </c>
      <c r="O34" s="18">
        <f>IF(B34&lt;=Вводные!$B27,N34,0)</f>
        <v>0</v>
      </c>
      <c r="P34" s="18">
        <f>IF(B34&lt;=Вводные!$B27,0,N34)</f>
        <v>6171.3177530430039</v>
      </c>
      <c r="Q34" s="18">
        <f>MAX(0,(C34-(J34+I34)))*Вводные!$B20/12</f>
        <v>82998.451828419551</v>
      </c>
      <c r="R34" s="18">
        <f>IF(OR(YEAR(B34)&gt;YEAR(Вводные!$B28),AND(YEAR(B34)=YEAR(Вводные!$B28),MONTH(B34)&gt;=MONTH(Вводные!$B28))),MAX(0,MIN(J34+I34+O34+Q34,Продажи!N34-P34-Q34)),0)</f>
        <v>0</v>
      </c>
      <c r="S34" s="18">
        <f t="shared" si="6"/>
        <v>740641128.81698883</v>
      </c>
      <c r="T34" s="1" t="str">
        <f t="shared" si="7"/>
        <v>Рабочий режим</v>
      </c>
    </row>
    <row r="35" spans="1:20" x14ac:dyDescent="0.25">
      <c r="A35" s="1">
        <v>32</v>
      </c>
      <c r="B35" s="7">
        <v>46997</v>
      </c>
      <c r="C35" s="18">
        <f t="shared" si="0"/>
        <v>1084000000</v>
      </c>
      <c r="D35" s="18">
        <f>ГПР!AK16</f>
        <v>0</v>
      </c>
      <c r="E35" s="18">
        <f>ГПР!AK14</f>
        <v>0</v>
      </c>
      <c r="F35" s="18">
        <f>IF(A35&lt;=Вводные!$B9,Структура_затрат!$H$35/Вводные!$B9,0)</f>
        <v>0</v>
      </c>
      <c r="G35" s="18">
        <f>(E35+F35)*Вводные!$B18</f>
        <v>0</v>
      </c>
      <c r="H35" s="18">
        <f t="shared" si="1"/>
        <v>0</v>
      </c>
      <c r="I35" s="18">
        <f t="shared" si="2"/>
        <v>0</v>
      </c>
      <c r="J35" s="18">
        <f t="shared" si="3"/>
        <v>740641128.81698883</v>
      </c>
      <c r="K35" s="18">
        <f>Продажи!L35</f>
        <v>1474187090.4718649</v>
      </c>
      <c r="L35" s="22">
        <f t="shared" si="4"/>
        <v>1.9904202360818852</v>
      </c>
      <c r="M35" s="29">
        <f>IF(L35&gt;1.3,Вводные!$B26,IF(L35&gt;1.2,Вводные!$B25,IF(L35&gt;1.1,Вводные!$B24,IF(L35&gt;=1,Вводные!$B23,Вводные!$B21+Вводные!$B22))))</f>
        <v>1E-4</v>
      </c>
      <c r="N35" s="18">
        <f t="shared" si="5"/>
        <v>6172.0094068082408</v>
      </c>
      <c r="O35" s="18">
        <f>IF(B35&lt;=Вводные!$B27,N35,0)</f>
        <v>0</v>
      </c>
      <c r="P35" s="18">
        <f>IF(B35&lt;=Вводные!$B27,0,N35)</f>
        <v>6172.0094068082408</v>
      </c>
      <c r="Q35" s="18">
        <f>MAX(0,(C35-(J35+I35)))*Вводные!$B20/12</f>
        <v>82978.393869227686</v>
      </c>
      <c r="R35" s="18">
        <f>IF(OR(YEAR(B35)&gt;YEAR(Вводные!$B28),AND(YEAR(B35)=YEAR(Вводные!$B28),MONTH(B35)&gt;=MONTH(Вводные!$B28))),MAX(0,MIN(J35+I35+O35+Q35,Продажи!N35-P35-Q35)),0)</f>
        <v>0</v>
      </c>
      <c r="S35" s="18">
        <f t="shared" si="6"/>
        <v>740724107.21085811</v>
      </c>
      <c r="T35" s="1" t="str">
        <f t="shared" si="7"/>
        <v>Рабочий режим</v>
      </c>
    </row>
    <row r="36" spans="1:20" x14ac:dyDescent="0.25">
      <c r="A36" s="1">
        <v>33</v>
      </c>
      <c r="B36" s="7">
        <v>47027</v>
      </c>
      <c r="C36" s="18">
        <f t="shared" si="0"/>
        <v>1084000000</v>
      </c>
      <c r="D36" s="18">
        <f>ГПР!AL16</f>
        <v>0</v>
      </c>
      <c r="E36" s="18">
        <f>ГПР!AL14</f>
        <v>0</v>
      </c>
      <c r="F36" s="18">
        <f>IF(A36&lt;=Вводные!$B9,Структура_затрат!$H$35/Вводные!$B9,0)</f>
        <v>0</v>
      </c>
      <c r="G36" s="18">
        <f>(E36+F36)*Вводные!$B18</f>
        <v>0</v>
      </c>
      <c r="H36" s="18">
        <f t="shared" si="1"/>
        <v>0</v>
      </c>
      <c r="I36" s="18">
        <f t="shared" si="2"/>
        <v>0</v>
      </c>
      <c r="J36" s="18">
        <f t="shared" si="3"/>
        <v>740724107.21085811</v>
      </c>
      <c r="K36" s="18">
        <f>Продажи!L36</f>
        <v>1474187090.4718649</v>
      </c>
      <c r="L36" s="22">
        <f t="shared" si="4"/>
        <v>1.9901972625446303</v>
      </c>
      <c r="M36" s="29">
        <f>IF(L36&gt;1.3,Вводные!$B26,IF(L36&gt;1.2,Вводные!$B25,IF(L36&gt;1.1,Вводные!$B24,IF(L36&gt;=1,Вводные!$B23,Вводные!$B21+Вводные!$B22))))</f>
        <v>1E-4</v>
      </c>
      <c r="N36" s="18">
        <f t="shared" si="5"/>
        <v>6172.7008934238183</v>
      </c>
      <c r="O36" s="18">
        <f>IF(B36&lt;=Вводные!$B27,N36,0)</f>
        <v>0</v>
      </c>
      <c r="P36" s="18">
        <f>IF(B36&lt;=Вводные!$B27,0,N36)</f>
        <v>6172.7008934238183</v>
      </c>
      <c r="Q36" s="18">
        <f>MAX(0,(C36-(J36+I36)))*Вводные!$B20/12</f>
        <v>82958.340757375947</v>
      </c>
      <c r="R36" s="18">
        <f>IF(OR(YEAR(B36)&gt;YEAR(Вводные!$B28),AND(YEAR(B36)=YEAR(Вводные!$B28),MONTH(B36)&gt;=MONTH(Вводные!$B28))),MAX(0,MIN(J36+I36+O36+Q36,Продажи!N36-P36-Q36)),0)</f>
        <v>0</v>
      </c>
      <c r="S36" s="18">
        <f t="shared" si="6"/>
        <v>740807065.55161548</v>
      </c>
      <c r="T36" s="1" t="str">
        <f t="shared" si="7"/>
        <v>Рабочий режим</v>
      </c>
    </row>
    <row r="37" spans="1:20" x14ac:dyDescent="0.25">
      <c r="A37" s="1">
        <v>34</v>
      </c>
      <c r="B37" s="7">
        <v>47058</v>
      </c>
      <c r="C37" s="18">
        <f t="shared" si="0"/>
        <v>1084000000</v>
      </c>
      <c r="D37" s="18">
        <f>ГПР!AM16</f>
        <v>0</v>
      </c>
      <c r="E37" s="18">
        <f>ГПР!AM14</f>
        <v>0</v>
      </c>
      <c r="F37" s="18">
        <f>IF(A37&lt;=Вводные!$B9,Структура_затрат!$H$35/Вводные!$B9,0)</f>
        <v>0</v>
      </c>
      <c r="G37" s="18">
        <f>(E37+F37)*Вводные!$B18</f>
        <v>0</v>
      </c>
      <c r="H37" s="18">
        <f t="shared" si="1"/>
        <v>0</v>
      </c>
      <c r="I37" s="18">
        <f t="shared" si="2"/>
        <v>0</v>
      </c>
      <c r="J37" s="18">
        <f t="shared" si="3"/>
        <v>740807065.55161548</v>
      </c>
      <c r="K37" s="18">
        <f>Продажи!L37</f>
        <v>1474187090.4718649</v>
      </c>
      <c r="L37" s="22">
        <f t="shared" si="4"/>
        <v>1.9899743928254305</v>
      </c>
      <c r="M37" s="29">
        <f>IF(L37&gt;1.3,Вводные!$B26,IF(L37&gt;1.2,Вводные!$B25,IF(L37&gt;1.1,Вводные!$B24,IF(L37&gt;=1,Вводные!$B23,Вводные!$B21+Вводные!$B22))))</f>
        <v>1E-4</v>
      </c>
      <c r="N37" s="18">
        <f t="shared" si="5"/>
        <v>6173.3922129301291</v>
      </c>
      <c r="O37" s="18">
        <f>IF(B37&lt;=Вводные!$B27,N37,0)</f>
        <v>0</v>
      </c>
      <c r="P37" s="18">
        <f>IF(B37&lt;=Вводные!$B27,0,N37)</f>
        <v>6173.3922129301291</v>
      </c>
      <c r="Q37" s="18">
        <f>MAX(0,(C37-(J37+I37)))*Вводные!$B20/12</f>
        <v>82938.292491692919</v>
      </c>
      <c r="R37" s="18">
        <f>IF(OR(YEAR(B37)&gt;YEAR(Вводные!$B28),AND(YEAR(B37)=YEAR(Вводные!$B28),MONTH(B37)&gt;=MONTH(Вводные!$B28))),MAX(0,MIN(J37+I37+O37+Q37,Продажи!N37-P37-Q37)),0)</f>
        <v>0</v>
      </c>
      <c r="S37" s="18">
        <f t="shared" si="6"/>
        <v>740890003.84410715</v>
      </c>
      <c r="T37" s="1" t="str">
        <f t="shared" si="7"/>
        <v>Рабочий режим</v>
      </c>
    </row>
    <row r="38" spans="1:20" x14ac:dyDescent="0.25">
      <c r="A38" s="1">
        <v>35</v>
      </c>
      <c r="B38" s="7">
        <v>47088</v>
      </c>
      <c r="C38" s="18">
        <f t="shared" si="0"/>
        <v>1084000000</v>
      </c>
      <c r="D38" s="18">
        <f>ГПР!AN16</f>
        <v>0</v>
      </c>
      <c r="E38" s="18">
        <f>ГПР!AN14</f>
        <v>0</v>
      </c>
      <c r="F38" s="18">
        <f>IF(A38&lt;=Вводные!$B9,Структура_затрат!$H$35/Вводные!$B9,0)</f>
        <v>0</v>
      </c>
      <c r="G38" s="18">
        <f>(E38+F38)*Вводные!$B18</f>
        <v>0</v>
      </c>
      <c r="H38" s="18">
        <f t="shared" si="1"/>
        <v>0</v>
      </c>
      <c r="I38" s="18">
        <f t="shared" si="2"/>
        <v>0</v>
      </c>
      <c r="J38" s="18">
        <f t="shared" si="3"/>
        <v>740890003.84410715</v>
      </c>
      <c r="K38" s="18">
        <f>Продажи!L38</f>
        <v>1474187090.4718649</v>
      </c>
      <c r="L38" s="22">
        <f t="shared" si="4"/>
        <v>1.9897516268583009</v>
      </c>
      <c r="M38" s="29">
        <f>IF(L38&gt;1.3,Вводные!$B26,IF(L38&gt;1.2,Вводные!$B25,IF(L38&gt;1.1,Вводные!$B24,IF(L38&gt;=1,Вводные!$B23,Вводные!$B21+Вводные!$B22))))</f>
        <v>1E-4</v>
      </c>
      <c r="N38" s="18">
        <f t="shared" si="5"/>
        <v>6174.0833653675591</v>
      </c>
      <c r="O38" s="18">
        <f>IF(B38&lt;=Вводные!$B27,N38,0)</f>
        <v>0</v>
      </c>
      <c r="P38" s="18">
        <f>IF(B38&lt;=Вводные!$B27,0,N38)</f>
        <v>6174.0833653675591</v>
      </c>
      <c r="Q38" s="18">
        <f>MAX(0,(C38-(J38+I38)))*Вводные!$B20/12</f>
        <v>82918.249071007434</v>
      </c>
      <c r="R38" s="18">
        <f>IF(OR(YEAR(B38)&gt;YEAR(Вводные!$B28),AND(YEAR(B38)=YEAR(Вводные!$B28),MONTH(B38)&gt;=MONTH(Вводные!$B28))),MAX(0,MIN(J38+I38+O38+Q38,Продажи!N38-P38-Q38)),0)</f>
        <v>0</v>
      </c>
      <c r="S38" s="18">
        <f t="shared" si="6"/>
        <v>740972922.09317815</v>
      </c>
      <c r="T38" s="1" t="str">
        <f t="shared" si="7"/>
        <v>Рабочий режим</v>
      </c>
    </row>
    <row r="39" spans="1:20" x14ac:dyDescent="0.25">
      <c r="A39" s="1">
        <v>36</v>
      </c>
      <c r="B39" s="7">
        <v>47119</v>
      </c>
      <c r="C39" s="18">
        <f t="shared" si="0"/>
        <v>1084000000</v>
      </c>
      <c r="D39" s="18">
        <f>ГПР!AO16</f>
        <v>0</v>
      </c>
      <c r="E39" s="18">
        <f>ГПР!AO14</f>
        <v>0</v>
      </c>
      <c r="F39" s="18">
        <f>IF(A39&lt;=Вводные!$B9,Структура_затрат!$H$35/Вводные!$B9,0)</f>
        <v>0</v>
      </c>
      <c r="G39" s="18">
        <f>(E39+F39)*Вводные!$B18</f>
        <v>0</v>
      </c>
      <c r="H39" s="18">
        <f t="shared" si="1"/>
        <v>0</v>
      </c>
      <c r="I39" s="18">
        <f t="shared" si="2"/>
        <v>0</v>
      </c>
      <c r="J39" s="18">
        <f t="shared" si="3"/>
        <v>740972922.09317815</v>
      </c>
      <c r="K39" s="18">
        <f>Продажи!L39</f>
        <v>1474187090.4718649</v>
      </c>
      <c r="L39" s="22">
        <f t="shared" si="4"/>
        <v>1.9895289645773107</v>
      </c>
      <c r="M39" s="29">
        <f>IF(L39&gt;1.3,Вводные!$B26,IF(L39&gt;1.2,Вводные!$B25,IF(L39&gt;1.1,Вводные!$B24,IF(L39&gt;=1,Вводные!$B23,Вводные!$B21+Вводные!$B22))))</f>
        <v>1E-4</v>
      </c>
      <c r="N39" s="18">
        <f t="shared" si="5"/>
        <v>6174.7743507764853</v>
      </c>
      <c r="O39" s="18">
        <f>IF(B39&lt;=Вводные!$B27,N39,0)</f>
        <v>0</v>
      </c>
      <c r="P39" s="18">
        <f>IF(B39&lt;=Вводные!$B27,0,N39)</f>
        <v>6174.7743507764853</v>
      </c>
      <c r="Q39" s="18">
        <f>MAX(0,(C39-(J39+I39)))*Вводные!$B20/12</f>
        <v>82898.210494148603</v>
      </c>
      <c r="R39" s="18">
        <f>IF(OR(YEAR(B39)&gt;YEAR(Вводные!$B28),AND(YEAR(B39)=YEAR(Вводные!$B28),MONTH(B39)&gt;=MONTH(Вводные!$B28))),MAX(0,MIN(J39+I39+O39+Q39,Продажи!N39-P39-Q39)),0)</f>
        <v>0</v>
      </c>
      <c r="S39" s="18">
        <f t="shared" si="6"/>
        <v>741055820.30367231</v>
      </c>
      <c r="T39" s="1" t="str">
        <f t="shared" si="7"/>
        <v>Рабочий режим</v>
      </c>
    </row>
    <row r="40" spans="1:20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x14ac:dyDescent="0.25">
      <c r="A41" s="5" t="s">
        <v>226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5">
        <f>SUM(N4:N39)</f>
        <v>435985.62953422667</v>
      </c>
      <c r="O41" s="5">
        <f>SUM(O4:O39)</f>
        <v>324945.54840670712</v>
      </c>
      <c r="P41" s="5">
        <f>SUM(P4:P39)</f>
        <v>111040.08112751944</v>
      </c>
      <c r="Q41" s="5">
        <f>SUM(Q4:Q39)</f>
        <v>2586099.2849877197</v>
      </c>
      <c r="R41" s="1"/>
      <c r="S41" s="5">
        <f>MAX(S4:S39)</f>
        <v>741055820.30367231</v>
      </c>
      <c r="T41" s="1"/>
    </row>
  </sheetData>
  <mergeCells count="1">
    <mergeCell ref="A1:T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41"/>
  <sheetViews>
    <sheetView showGridLines="0" workbookViewId="0">
      <selection sqref="A1:N1"/>
    </sheetView>
  </sheetViews>
  <sheetFormatPr defaultRowHeight="15" x14ac:dyDescent="0.25"/>
  <cols>
    <col min="1" max="1" width="8" style="32" customWidth="1"/>
    <col min="2" max="2" width="10" style="32" customWidth="1"/>
    <col min="3" max="4" width="12" style="32" customWidth="1"/>
    <col min="5" max="5" width="15" style="32" customWidth="1"/>
    <col min="6" max="9" width="13" style="32" customWidth="1"/>
    <col min="10" max="12" width="12" style="32" customWidth="1"/>
    <col min="13" max="13" width="13" style="32" customWidth="1"/>
    <col min="14" max="14" width="14" style="32" customWidth="1"/>
    <col min="15" max="15" width="16" style="32" customWidth="1"/>
  </cols>
  <sheetData>
    <row r="1" spans="1:15" x14ac:dyDescent="0.25">
      <c r="A1" s="36" t="s">
        <v>249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</row>
    <row r="2" spans="1:15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5" ht="45" customHeight="1" x14ac:dyDescent="0.25">
      <c r="A3" s="2" t="s">
        <v>210</v>
      </c>
      <c r="B3" s="2" t="s">
        <v>211</v>
      </c>
      <c r="C3" s="2" t="s">
        <v>229</v>
      </c>
      <c r="D3" s="2" t="s">
        <v>230</v>
      </c>
      <c r="E3" s="2" t="s">
        <v>250</v>
      </c>
      <c r="F3" s="2" t="s">
        <v>232</v>
      </c>
      <c r="G3" s="2" t="s">
        <v>251</v>
      </c>
      <c r="H3" s="2" t="s">
        <v>252</v>
      </c>
      <c r="I3" s="2" t="s">
        <v>225</v>
      </c>
      <c r="J3" s="2" t="s">
        <v>253</v>
      </c>
      <c r="K3" s="2" t="s">
        <v>240</v>
      </c>
      <c r="L3" s="2" t="s">
        <v>247</v>
      </c>
      <c r="M3" s="2" t="s">
        <v>254</v>
      </c>
      <c r="N3" s="2" t="s">
        <v>255</v>
      </c>
      <c r="O3" t="s">
        <v>256</v>
      </c>
    </row>
    <row r="4" spans="1:15" x14ac:dyDescent="0.25">
      <c r="A4" s="1">
        <v>1</v>
      </c>
      <c r="B4" s="7">
        <v>46054</v>
      </c>
      <c r="C4" s="18">
        <f>Кредит!E4</f>
        <v>7074288</v>
      </c>
      <c r="D4" s="18">
        <f>Кредит!F4</f>
        <v>2764100.7946347469</v>
      </c>
      <c r="E4" s="18">
        <f t="shared" ref="E4:E39" si="0">C4+D4</f>
        <v>9838388.7946347464</v>
      </c>
      <c r="F4" s="18">
        <f>Кредит!G4</f>
        <v>1478709.8358336024</v>
      </c>
      <c r="G4" s="18">
        <f>Кредит!I4</f>
        <v>8359678.9588011438</v>
      </c>
      <c r="H4" s="18">
        <f>Продажи!N4</f>
        <v>26453000</v>
      </c>
      <c r="I4" s="18">
        <f>Кредит!P4</f>
        <v>0</v>
      </c>
      <c r="J4" s="18">
        <f>Кредит!Q4</f>
        <v>36559.652584956384</v>
      </c>
      <c r="K4" s="18">
        <f>Кредит!R4</f>
        <v>0</v>
      </c>
      <c r="L4" s="18">
        <f t="shared" ref="L4:L39" si="1">F4+G4+H4-E4-I4-J4-K4</f>
        <v>26416440.347415045</v>
      </c>
      <c r="M4" s="18">
        <f t="shared" ref="M4:M39" si="2">IF(A4=1,L4,M3+L4)</f>
        <v>26416440.347415045</v>
      </c>
      <c r="N4" s="18">
        <f t="shared" ref="N4:N39" si="3">F4+G4+I4-E4-K4-L4-M4</f>
        <v>-52832880.69483009</v>
      </c>
      <c r="O4" s="27">
        <f t="shared" ref="O4:O39" si="4">IF(A4=1,N4,O3+N4)</f>
        <v>-52832880.69483009</v>
      </c>
    </row>
    <row r="5" spans="1:15" x14ac:dyDescent="0.25">
      <c r="A5" s="1">
        <v>2</v>
      </c>
      <c r="B5" s="7">
        <v>46082</v>
      </c>
      <c r="C5" s="18">
        <f>Кредит!E5</f>
        <v>16790058</v>
      </c>
      <c r="D5" s="18">
        <f>Кредит!F5</f>
        <v>2764100.7946347469</v>
      </c>
      <c r="E5" s="18">
        <f t="shared" si="0"/>
        <v>19554158.794634748</v>
      </c>
      <c r="F5" s="18">
        <f>Кредит!G5</f>
        <v>2938990.0668336023</v>
      </c>
      <c r="G5" s="18">
        <f>Кредит!I5</f>
        <v>16615168.727801146</v>
      </c>
      <c r="H5" s="18">
        <f>Продажи!N5</f>
        <v>26623199.398499921</v>
      </c>
      <c r="I5" s="18">
        <f>Кредит!P5</f>
        <v>0</v>
      </c>
      <c r="J5" s="18">
        <f>Кредит!Q5</f>
        <v>32535.468057565176</v>
      </c>
      <c r="K5" s="18">
        <f>Кредит!R5</f>
        <v>0</v>
      </c>
      <c r="L5" s="18">
        <f t="shared" si="1"/>
        <v>26590663.930442352</v>
      </c>
      <c r="M5" s="18">
        <f t="shared" si="2"/>
        <v>53007104.277857393</v>
      </c>
      <c r="N5" s="18">
        <f t="shared" si="3"/>
        <v>-79597768.208299741</v>
      </c>
      <c r="O5" s="27">
        <f t="shared" si="4"/>
        <v>-132430648.90312983</v>
      </c>
    </row>
    <row r="6" spans="1:15" x14ac:dyDescent="0.25">
      <c r="A6" s="1">
        <v>3</v>
      </c>
      <c r="B6" s="7">
        <v>46113</v>
      </c>
      <c r="C6" s="18">
        <f>Кредит!E6</f>
        <v>37243785</v>
      </c>
      <c r="D6" s="18">
        <f>Кредит!F6</f>
        <v>2764100.7946347469</v>
      </c>
      <c r="E6" s="18">
        <f t="shared" si="0"/>
        <v>40007885.794634745</v>
      </c>
      <c r="F6" s="18">
        <f>Кредит!G6</f>
        <v>6013185.2349336017</v>
      </c>
      <c r="G6" s="18">
        <f>Кредит!I6</f>
        <v>33994700.559701145</v>
      </c>
      <c r="H6" s="18">
        <f>Продажи!N6</f>
        <v>26794493.865054492</v>
      </c>
      <c r="I6" s="18">
        <f>Кредит!P6</f>
        <v>0</v>
      </c>
      <c r="J6" s="18">
        <f>Кредит!Q6</f>
        <v>117638.76064718784</v>
      </c>
      <c r="K6" s="18">
        <f>Кредит!R6</f>
        <v>0</v>
      </c>
      <c r="L6" s="18">
        <f t="shared" si="1"/>
        <v>26676855.104407299</v>
      </c>
      <c r="M6" s="18">
        <f t="shared" si="2"/>
        <v>79683959.382264689</v>
      </c>
      <c r="N6" s="18">
        <f t="shared" si="3"/>
        <v>-106360814.48667198</v>
      </c>
      <c r="O6" s="27">
        <f t="shared" si="4"/>
        <v>-238791463.3898018</v>
      </c>
    </row>
    <row r="7" spans="1:15" x14ac:dyDescent="0.25">
      <c r="A7" s="1">
        <v>4</v>
      </c>
      <c r="B7" s="7">
        <v>46143</v>
      </c>
      <c r="C7" s="18">
        <f>Кредит!E7</f>
        <v>27528015</v>
      </c>
      <c r="D7" s="18">
        <f>Кредит!F7</f>
        <v>2764100.7946347469</v>
      </c>
      <c r="E7" s="18">
        <f t="shared" si="0"/>
        <v>30292115.794634748</v>
      </c>
      <c r="F7" s="18">
        <f>Кредит!G7</f>
        <v>4552905.003933602</v>
      </c>
      <c r="G7" s="18">
        <f>Кредит!I7</f>
        <v>25739210.790701147</v>
      </c>
      <c r="H7" s="18">
        <f>Продажи!N7</f>
        <v>26966890.445364557</v>
      </c>
      <c r="I7" s="18">
        <f>Кредит!P7</f>
        <v>0</v>
      </c>
      <c r="J7" s="18">
        <f>Кредит!Q7</f>
        <v>111389.90310778406</v>
      </c>
      <c r="K7" s="18">
        <f>Кредит!R7</f>
        <v>0</v>
      </c>
      <c r="L7" s="18">
        <f t="shared" si="1"/>
        <v>26855500.542256776</v>
      </c>
      <c r="M7" s="18">
        <f t="shared" si="2"/>
        <v>106539459.92452146</v>
      </c>
      <c r="N7" s="18">
        <f t="shared" si="3"/>
        <v>-133394960.46677823</v>
      </c>
      <c r="O7" s="27">
        <f t="shared" si="4"/>
        <v>-372186423.85658002</v>
      </c>
    </row>
    <row r="8" spans="1:15" x14ac:dyDescent="0.25">
      <c r="A8" s="1">
        <v>5</v>
      </c>
      <c r="B8" s="7">
        <v>46174</v>
      </c>
      <c r="C8" s="18">
        <f>Кредит!E8</f>
        <v>51397622.777777776</v>
      </c>
      <c r="D8" s="18">
        <f>Кредит!F8</f>
        <v>2764100.7946347469</v>
      </c>
      <c r="E8" s="18">
        <f t="shared" si="0"/>
        <v>54161723.572412521</v>
      </c>
      <c r="F8" s="18">
        <f>Кредит!G8</f>
        <v>8140507.0529336017</v>
      </c>
      <c r="G8" s="18">
        <f>Кредит!I8</f>
        <v>46021216.519478917</v>
      </c>
      <c r="H8" s="18">
        <f>Продажи!N8</f>
        <v>54280792.460926399</v>
      </c>
      <c r="I8" s="18">
        <f>Кредит!P8</f>
        <v>0</v>
      </c>
      <c r="J8" s="18">
        <f>Кредит!Q8</f>
        <v>100215.37317123625</v>
      </c>
      <c r="K8" s="18">
        <f>Кредит!R8</f>
        <v>0</v>
      </c>
      <c r="L8" s="18">
        <f t="shared" si="1"/>
        <v>54180577.087755166</v>
      </c>
      <c r="M8" s="18">
        <f t="shared" si="2"/>
        <v>160720037.01227662</v>
      </c>
      <c r="N8" s="18">
        <f t="shared" si="3"/>
        <v>-214900614.10003179</v>
      </c>
      <c r="O8" s="27">
        <f t="shared" si="4"/>
        <v>-587087037.95661187</v>
      </c>
    </row>
    <row r="9" spans="1:15" x14ac:dyDescent="0.25">
      <c r="A9" s="1">
        <v>6</v>
      </c>
      <c r="B9" s="7">
        <v>46204</v>
      </c>
      <c r="C9" s="18">
        <f>Кредит!E9</f>
        <v>23869607.777777776</v>
      </c>
      <c r="D9" s="18">
        <f>Кредит!F9</f>
        <v>2764100.7946347469</v>
      </c>
      <c r="E9" s="18">
        <f t="shared" si="0"/>
        <v>26633708.572412524</v>
      </c>
      <c r="F9" s="18">
        <f>Кредит!G9</f>
        <v>4003046.3984336019</v>
      </c>
      <c r="G9" s="18">
        <f>Кредит!I9</f>
        <v>22630662.173978921</v>
      </c>
      <c r="H9" s="18">
        <f>Продажи!N9</f>
        <v>54630036.714014843</v>
      </c>
      <c r="I9" s="18">
        <f>Кредит!P9</f>
        <v>0</v>
      </c>
      <c r="J9" s="18">
        <f>Кредит!Q9</f>
        <v>94682.199762748744</v>
      </c>
      <c r="K9" s="18">
        <f>Кредит!R9</f>
        <v>0</v>
      </c>
      <c r="L9" s="18">
        <f t="shared" si="1"/>
        <v>54535354.514252096</v>
      </c>
      <c r="M9" s="18">
        <f t="shared" si="2"/>
        <v>215255391.52652872</v>
      </c>
      <c r="N9" s="18">
        <f t="shared" si="3"/>
        <v>-269790746.04078078</v>
      </c>
      <c r="O9" s="27">
        <f t="shared" si="4"/>
        <v>-856877783.99739265</v>
      </c>
    </row>
    <row r="10" spans="1:15" x14ac:dyDescent="0.25">
      <c r="A10" s="1">
        <v>7</v>
      </c>
      <c r="B10" s="7">
        <v>46235</v>
      </c>
      <c r="C10" s="18">
        <f>Кредит!E10</f>
        <v>23869607.777777776</v>
      </c>
      <c r="D10" s="18">
        <f>Кредит!F10</f>
        <v>2764100.7946347469</v>
      </c>
      <c r="E10" s="18">
        <f t="shared" si="0"/>
        <v>26633708.572412524</v>
      </c>
      <c r="F10" s="18">
        <f>Кредит!G10</f>
        <v>4003046.3984336019</v>
      </c>
      <c r="G10" s="18">
        <f>Кредит!I10</f>
        <v>22630662.173978921</v>
      </c>
      <c r="H10" s="18">
        <f>Продажи!N10</f>
        <v>82472292.022715136</v>
      </c>
      <c r="I10" s="18">
        <f>Кредит!P10</f>
        <v>0</v>
      </c>
      <c r="J10" s="18">
        <f>Кредит!Q10</f>
        <v>89189.931336592548</v>
      </c>
      <c r="K10" s="18">
        <f>Кредит!R10</f>
        <v>0</v>
      </c>
      <c r="L10" s="18">
        <f t="shared" si="1"/>
        <v>82383102.09137854</v>
      </c>
      <c r="M10" s="18">
        <f t="shared" si="2"/>
        <v>297638493.61790729</v>
      </c>
      <c r="N10" s="18">
        <f t="shared" si="3"/>
        <v>-380021595.70928586</v>
      </c>
      <c r="O10" s="27">
        <f t="shared" si="4"/>
        <v>-1236899379.7066784</v>
      </c>
    </row>
    <row r="11" spans="1:15" x14ac:dyDescent="0.25">
      <c r="A11" s="1">
        <v>8</v>
      </c>
      <c r="B11" s="7">
        <v>46266</v>
      </c>
      <c r="C11" s="18">
        <f>Кредит!E11</f>
        <v>23869607.777777776</v>
      </c>
      <c r="D11" s="18">
        <f>Кредит!F11</f>
        <v>2764100.7946347469</v>
      </c>
      <c r="E11" s="18">
        <f t="shared" si="0"/>
        <v>26633708.572412524</v>
      </c>
      <c r="F11" s="18">
        <f>Кредит!G11</f>
        <v>4003046.3984336019</v>
      </c>
      <c r="G11" s="18">
        <f>Кредит!I11</f>
        <v>22630662.173978921</v>
      </c>
      <c r="H11" s="18">
        <f>Продажи!N11</f>
        <v>83002921.232830271</v>
      </c>
      <c r="I11" s="18">
        <f>Кредит!P11</f>
        <v>0</v>
      </c>
      <c r="J11" s="18">
        <f>Кредит!Q11</f>
        <v>83698.944439735773</v>
      </c>
      <c r="K11" s="18">
        <f>Кредит!R11</f>
        <v>0</v>
      </c>
      <c r="L11" s="18">
        <f t="shared" si="1"/>
        <v>82919222.288390532</v>
      </c>
      <c r="M11" s="18">
        <f t="shared" si="2"/>
        <v>380557715.9062978</v>
      </c>
      <c r="N11" s="18">
        <f t="shared" si="3"/>
        <v>-463476938.19468832</v>
      </c>
      <c r="O11" s="27">
        <f t="shared" si="4"/>
        <v>-1700376317.9013667</v>
      </c>
    </row>
    <row r="12" spans="1:15" x14ac:dyDescent="0.25">
      <c r="A12" s="1">
        <v>9</v>
      </c>
      <c r="B12" s="7">
        <v>46296</v>
      </c>
      <c r="C12" s="18">
        <f>Кредит!E12</f>
        <v>81285181.920634925</v>
      </c>
      <c r="D12" s="18">
        <f>Кредит!F12</f>
        <v>2764100.7946347469</v>
      </c>
      <c r="E12" s="18">
        <f t="shared" si="0"/>
        <v>84049282.71526967</v>
      </c>
      <c r="F12" s="18">
        <f>Кредит!G12</f>
        <v>12632607.192105031</v>
      </c>
      <c r="G12" s="18">
        <f>Кредит!I12</f>
        <v>71416675.523164645</v>
      </c>
      <c r="H12" s="18">
        <f>Продажи!N12</f>
        <v>111382619.36968073</v>
      </c>
      <c r="I12" s="18">
        <f>Кредит!P12</f>
        <v>0</v>
      </c>
      <c r="J12" s="18">
        <f>Кредит!Q12</f>
        <v>66419.28554710171</v>
      </c>
      <c r="K12" s="18">
        <f>Кредит!R12</f>
        <v>0</v>
      </c>
      <c r="L12" s="18">
        <f t="shared" si="1"/>
        <v>111316200.08413361</v>
      </c>
      <c r="M12" s="18">
        <f t="shared" si="2"/>
        <v>491873915.99043143</v>
      </c>
      <c r="N12" s="18">
        <f t="shared" si="3"/>
        <v>-603190116.07456505</v>
      </c>
      <c r="O12" s="27">
        <f t="shared" si="4"/>
        <v>-2303566433.9759316</v>
      </c>
    </row>
    <row r="13" spans="1:15" x14ac:dyDescent="0.25">
      <c r="A13" s="1">
        <v>10</v>
      </c>
      <c r="B13" s="7">
        <v>46327</v>
      </c>
      <c r="C13" s="18">
        <f>Кредит!E13</f>
        <v>85988273.387301594</v>
      </c>
      <c r="D13" s="18">
        <f>Кредит!F13</f>
        <v>2764100.7946347469</v>
      </c>
      <c r="E13" s="18">
        <f t="shared" si="0"/>
        <v>88752374.181936339</v>
      </c>
      <c r="F13" s="18">
        <f>Кредит!G13</f>
        <v>13339481.83954503</v>
      </c>
      <c r="G13" s="18">
        <f>Кредит!I13</f>
        <v>75412892.342391312</v>
      </c>
      <c r="H13" s="18">
        <f>Продажи!N13</f>
        <v>112099258.49643631</v>
      </c>
      <c r="I13" s="18">
        <f>Кредит!P13</f>
        <v>0</v>
      </c>
      <c r="J13" s="18">
        <f>Кредит!Q13</f>
        <v>48177.906176896162</v>
      </c>
      <c r="K13" s="18">
        <f>Кредит!R13</f>
        <v>0</v>
      </c>
      <c r="L13" s="18">
        <f t="shared" si="1"/>
        <v>112051080.59025942</v>
      </c>
      <c r="M13" s="18">
        <f t="shared" si="2"/>
        <v>603924996.58069086</v>
      </c>
      <c r="N13" s="18">
        <f t="shared" si="3"/>
        <v>-715976077.17095029</v>
      </c>
      <c r="O13" s="27">
        <f t="shared" si="4"/>
        <v>-3019542511.1468821</v>
      </c>
    </row>
    <row r="14" spans="1:15" x14ac:dyDescent="0.25">
      <c r="A14" s="1">
        <v>11</v>
      </c>
      <c r="B14" s="7">
        <v>46357</v>
      </c>
      <c r="C14" s="18">
        <f>Кредит!E14</f>
        <v>96873534.220634922</v>
      </c>
      <c r="D14" s="18">
        <f>Кредит!F14</f>
        <v>2764100.7946347469</v>
      </c>
      <c r="E14" s="18">
        <f t="shared" si="0"/>
        <v>99637635.015269667</v>
      </c>
      <c r="F14" s="18">
        <f>Кредит!G14</f>
        <v>14975536.54279503</v>
      </c>
      <c r="G14" s="18">
        <f>Кредит!I14</f>
        <v>84662098.472474635</v>
      </c>
      <c r="H14" s="18">
        <f>Продажи!N14</f>
        <v>142625635.62613928</v>
      </c>
      <c r="I14" s="18">
        <f>Кредит!P14</f>
        <v>0</v>
      </c>
      <c r="J14" s="18">
        <f>Кредит!Q14</f>
        <v>27705.558313773505</v>
      </c>
      <c r="K14" s="18">
        <f>Кредит!R14</f>
        <v>0</v>
      </c>
      <c r="L14" s="18">
        <f t="shared" si="1"/>
        <v>142597930.0678255</v>
      </c>
      <c r="M14" s="18">
        <f t="shared" si="2"/>
        <v>746522926.64851642</v>
      </c>
      <c r="N14" s="18">
        <f t="shared" si="3"/>
        <v>-889120856.71634197</v>
      </c>
      <c r="O14" s="27">
        <f t="shared" si="4"/>
        <v>-3908663367.863224</v>
      </c>
    </row>
    <row r="15" spans="1:15" x14ac:dyDescent="0.25">
      <c r="A15" s="1">
        <v>12</v>
      </c>
      <c r="B15" s="7">
        <v>46388</v>
      </c>
      <c r="C15" s="18">
        <f>Кредит!E15</f>
        <v>96873534.220634922</v>
      </c>
      <c r="D15" s="18">
        <f>Кредит!F15</f>
        <v>2764100.7946347469</v>
      </c>
      <c r="E15" s="18">
        <f t="shared" si="0"/>
        <v>99637635.015269667</v>
      </c>
      <c r="F15" s="18">
        <f>Кредит!G15</f>
        <v>14975536.54279503</v>
      </c>
      <c r="G15" s="18">
        <f>Кредит!I15</f>
        <v>84662098.472474635</v>
      </c>
      <c r="H15" s="18">
        <f>Продажи!N15</f>
        <v>143532998.8120403</v>
      </c>
      <c r="I15" s="18">
        <f>Кредит!P15</f>
        <v>0</v>
      </c>
      <c r="J15" s="18">
        <f>Кредит!Q15</f>
        <v>68137.98733181892</v>
      </c>
      <c r="K15" s="18">
        <f>Кредит!R15</f>
        <v>0</v>
      </c>
      <c r="L15" s="18">
        <f t="shared" si="1"/>
        <v>143464860.82470849</v>
      </c>
      <c r="M15" s="18">
        <f t="shared" si="2"/>
        <v>889987787.47322488</v>
      </c>
      <c r="N15" s="18">
        <f t="shared" si="3"/>
        <v>-1033452648.2979333</v>
      </c>
      <c r="O15" s="27">
        <f t="shared" si="4"/>
        <v>-4942116016.1611576</v>
      </c>
    </row>
    <row r="16" spans="1:15" x14ac:dyDescent="0.25">
      <c r="A16" s="1">
        <v>13</v>
      </c>
      <c r="B16" s="7">
        <v>46419</v>
      </c>
      <c r="C16" s="18">
        <f>Кредит!E16</f>
        <v>96873534.220634922</v>
      </c>
      <c r="D16" s="18">
        <f>Кредит!F16</f>
        <v>2764100.7946347469</v>
      </c>
      <c r="E16" s="18">
        <f t="shared" si="0"/>
        <v>99637635.015269667</v>
      </c>
      <c r="F16" s="18">
        <f>Кредит!G16</f>
        <v>14975536.54279503</v>
      </c>
      <c r="G16" s="18">
        <f>Кредит!I16</f>
        <v>84662098.472474635</v>
      </c>
      <c r="H16" s="18">
        <f>Продажи!N16</f>
        <v>144446200</v>
      </c>
      <c r="I16" s="18">
        <f>Кредит!P16</f>
        <v>0</v>
      </c>
      <c r="J16" s="18">
        <f>Кредит!Q16</f>
        <v>47660.474616426793</v>
      </c>
      <c r="K16" s="18">
        <f>Кредит!R16</f>
        <v>0</v>
      </c>
      <c r="L16" s="18">
        <f t="shared" si="1"/>
        <v>144398539.52538356</v>
      </c>
      <c r="M16" s="18">
        <f t="shared" si="2"/>
        <v>1034386326.9986085</v>
      </c>
      <c r="N16" s="18">
        <f t="shared" si="3"/>
        <v>-1178784866.5239921</v>
      </c>
      <c r="O16" s="27">
        <f t="shared" si="4"/>
        <v>-6120900882.6851501</v>
      </c>
    </row>
    <row r="17" spans="1:15" x14ac:dyDescent="0.25">
      <c r="A17" s="1">
        <v>14</v>
      </c>
      <c r="B17" s="7">
        <v>46447</v>
      </c>
      <c r="C17" s="18">
        <f>Кредит!E17</f>
        <v>73003926.442857146</v>
      </c>
      <c r="D17" s="18">
        <f>Кредит!F17</f>
        <v>2764100.7946347469</v>
      </c>
      <c r="E17" s="18">
        <f t="shared" si="0"/>
        <v>75768027.237491891</v>
      </c>
      <c r="F17" s="18">
        <f>Кредит!G17</f>
        <v>11387934.49379503</v>
      </c>
      <c r="G17" s="18">
        <f>Кредит!I17</f>
        <v>64380092.743696861</v>
      </c>
      <c r="H17" s="18">
        <f>Продажи!N17</f>
        <v>145365276.7518996</v>
      </c>
      <c r="I17" s="18">
        <f>Кредит!P17</f>
        <v>0</v>
      </c>
      <c r="J17" s="18">
        <f>Кредит!Q17</f>
        <v>32089.224705122895</v>
      </c>
      <c r="K17" s="18">
        <f>Кредит!R17</f>
        <v>0</v>
      </c>
      <c r="L17" s="18">
        <f t="shared" si="1"/>
        <v>145333187.52719447</v>
      </c>
      <c r="M17" s="18">
        <f t="shared" si="2"/>
        <v>1179719514.5258029</v>
      </c>
      <c r="N17" s="18">
        <f t="shared" si="3"/>
        <v>-1325052702.0529974</v>
      </c>
      <c r="O17" s="27">
        <f t="shared" si="4"/>
        <v>-7445953584.7381477</v>
      </c>
    </row>
    <row r="18" spans="1:15" x14ac:dyDescent="0.25">
      <c r="A18" s="1">
        <v>15</v>
      </c>
      <c r="B18" s="7">
        <v>46478</v>
      </c>
      <c r="C18" s="18">
        <f>Кредит!E18</f>
        <v>50405765.10952381</v>
      </c>
      <c r="D18" s="18">
        <f>Кредит!F18</f>
        <v>2764100.7946347469</v>
      </c>
      <c r="E18" s="18">
        <f t="shared" si="0"/>
        <v>53169865.904158555</v>
      </c>
      <c r="F18" s="18">
        <f>Кредит!G18</f>
        <v>7991430.8453950305</v>
      </c>
      <c r="G18" s="18">
        <f>Кредит!I18</f>
        <v>45178435.058763526</v>
      </c>
      <c r="H18" s="18">
        <f>Продажи!N18</f>
        <v>146290266.87129432</v>
      </c>
      <c r="I18" s="18">
        <f>Кредит!P18</f>
        <v>0</v>
      </c>
      <c r="J18" s="18">
        <f>Кредит!Q18</f>
        <v>21162.008692657197</v>
      </c>
      <c r="K18" s="18">
        <f>Кредит!R18</f>
        <v>0</v>
      </c>
      <c r="L18" s="18">
        <f t="shared" si="1"/>
        <v>146269104.86260167</v>
      </c>
      <c r="M18" s="18">
        <f t="shared" si="2"/>
        <v>1325988619.3884046</v>
      </c>
      <c r="N18" s="18">
        <f t="shared" si="3"/>
        <v>-1472257724.2510064</v>
      </c>
      <c r="O18" s="27">
        <f t="shared" si="4"/>
        <v>-8918211308.9891548</v>
      </c>
    </row>
    <row r="19" spans="1:15" x14ac:dyDescent="0.25">
      <c r="A19" s="1">
        <v>16</v>
      </c>
      <c r="B19" s="7">
        <v>46508</v>
      </c>
      <c r="C19" s="18">
        <f>Кредит!E19</f>
        <v>21212764.5</v>
      </c>
      <c r="D19" s="18">
        <f>Кредит!F19</f>
        <v>2764100.7946347469</v>
      </c>
      <c r="E19" s="18">
        <f t="shared" si="0"/>
        <v>23976865.294634748</v>
      </c>
      <c r="F19" s="18">
        <f>Кредит!G19</f>
        <v>3603722.8537836024</v>
      </c>
      <c r="G19" s="18">
        <f>Кредит!I19</f>
        <v>20373142.440851144</v>
      </c>
      <c r="H19" s="18">
        <f>Продажи!N19</f>
        <v>147221208.40496865</v>
      </c>
      <c r="I19" s="18">
        <f>Кредит!P19</f>
        <v>0</v>
      </c>
      <c r="J19" s="18">
        <f>Кредит!Q19</f>
        <v>16231.954746589914</v>
      </c>
      <c r="K19" s="18">
        <f>Кредит!R19</f>
        <v>0</v>
      </c>
      <c r="L19" s="18">
        <f t="shared" si="1"/>
        <v>147204976.45022205</v>
      </c>
      <c r="M19" s="18">
        <f t="shared" si="2"/>
        <v>1473193595.8386266</v>
      </c>
      <c r="N19" s="18">
        <f t="shared" si="3"/>
        <v>-1620398572.2888486</v>
      </c>
      <c r="O19" s="27">
        <f t="shared" si="4"/>
        <v>-10538609881.278004</v>
      </c>
    </row>
    <row r="20" spans="1:15" x14ac:dyDescent="0.25">
      <c r="A20" s="1">
        <v>17</v>
      </c>
      <c r="B20" s="7">
        <v>46539</v>
      </c>
      <c r="C20" s="18">
        <f>Кредит!E20</f>
        <v>10327503.666666666</v>
      </c>
      <c r="D20" s="18">
        <f>Кредит!F20</f>
        <v>0</v>
      </c>
      <c r="E20" s="18">
        <f t="shared" si="0"/>
        <v>10327503.666666666</v>
      </c>
      <c r="F20" s="18">
        <f>Кредит!G20</f>
        <v>1552223.8010999998</v>
      </c>
      <c r="G20" s="18">
        <f>Кредит!I20</f>
        <v>8775279.8655666672</v>
      </c>
      <c r="H20" s="18">
        <f>Продажи!N20</f>
        <v>0</v>
      </c>
      <c r="I20" s="18">
        <f>Кредит!P20</f>
        <v>0</v>
      </c>
      <c r="J20" s="18">
        <f>Кредит!Q20</f>
        <v>14105.867935470438</v>
      </c>
      <c r="K20" s="18">
        <f>Кредит!R20</f>
        <v>0</v>
      </c>
      <c r="L20" s="18">
        <f t="shared" si="1"/>
        <v>-14105.867935468576</v>
      </c>
      <c r="M20" s="18">
        <f t="shared" si="2"/>
        <v>1473179489.9706912</v>
      </c>
      <c r="N20" s="18">
        <f t="shared" si="3"/>
        <v>-1473165384.1027558</v>
      </c>
      <c r="O20" s="27">
        <f t="shared" si="4"/>
        <v>-12011775265.38076</v>
      </c>
    </row>
    <row r="21" spans="1:15" x14ac:dyDescent="0.25">
      <c r="A21" s="1">
        <v>18</v>
      </c>
      <c r="B21" s="7">
        <v>46569</v>
      </c>
      <c r="C21" s="18">
        <f>Кредит!E21</f>
        <v>0</v>
      </c>
      <c r="D21" s="18">
        <f>Кредит!F21</f>
        <v>0</v>
      </c>
      <c r="E21" s="18">
        <f t="shared" si="0"/>
        <v>0</v>
      </c>
      <c r="F21" s="18">
        <f>Кредит!G21</f>
        <v>0</v>
      </c>
      <c r="G21" s="18">
        <f>Кредит!I21</f>
        <v>0</v>
      </c>
      <c r="H21" s="18">
        <f>Продажи!N21</f>
        <v>0</v>
      </c>
      <c r="I21" s="18">
        <f>Кредит!P21</f>
        <v>0</v>
      </c>
      <c r="J21" s="18">
        <f>Кредит!Q21</f>
        <v>83261.136512118843</v>
      </c>
      <c r="K21" s="18">
        <f>Кредит!R21</f>
        <v>0</v>
      </c>
      <c r="L21" s="18">
        <f t="shared" si="1"/>
        <v>-83261.136512118843</v>
      </c>
      <c r="M21" s="18">
        <f t="shared" si="2"/>
        <v>1473096228.8341792</v>
      </c>
      <c r="N21" s="18">
        <f t="shared" si="3"/>
        <v>-1473012967.6976671</v>
      </c>
      <c r="O21" s="27">
        <f t="shared" si="4"/>
        <v>-13484788233.078426</v>
      </c>
    </row>
    <row r="22" spans="1:15" x14ac:dyDescent="0.25">
      <c r="A22" s="1">
        <v>19</v>
      </c>
      <c r="B22" s="7">
        <v>46600</v>
      </c>
      <c r="C22" s="18">
        <f>Кредит!E22</f>
        <v>0</v>
      </c>
      <c r="D22" s="18">
        <f>Кредит!F22</f>
        <v>0</v>
      </c>
      <c r="E22" s="18">
        <f t="shared" si="0"/>
        <v>0</v>
      </c>
      <c r="F22" s="18">
        <f>Кредит!G22</f>
        <v>0</v>
      </c>
      <c r="G22" s="18">
        <f>Кредит!I22</f>
        <v>0</v>
      </c>
      <c r="H22" s="18">
        <f>Продажи!N22</f>
        <v>0</v>
      </c>
      <c r="I22" s="18">
        <f>Кредит!P22</f>
        <v>6163.0048554697541</v>
      </c>
      <c r="J22" s="18">
        <f>Кредит!Q22</f>
        <v>83239.52585804378</v>
      </c>
      <c r="K22" s="18">
        <f>Кредит!R22</f>
        <v>0</v>
      </c>
      <c r="L22" s="18">
        <f t="shared" si="1"/>
        <v>-89402.530713513537</v>
      </c>
      <c r="M22" s="18">
        <f t="shared" si="2"/>
        <v>1473006826.3034656</v>
      </c>
      <c r="N22" s="18">
        <f t="shared" si="3"/>
        <v>-1472911260.7678967</v>
      </c>
      <c r="O22" s="27">
        <f t="shared" si="4"/>
        <v>-14957699493.846323</v>
      </c>
    </row>
    <row r="23" spans="1:15" x14ac:dyDescent="0.25">
      <c r="A23" s="1">
        <v>20</v>
      </c>
      <c r="B23" s="7">
        <v>46631</v>
      </c>
      <c r="C23" s="18">
        <f>Кредит!E23</f>
        <v>0</v>
      </c>
      <c r="D23" s="18">
        <f>Кредит!F23</f>
        <v>0</v>
      </c>
      <c r="E23" s="18">
        <f t="shared" si="0"/>
        <v>0</v>
      </c>
      <c r="F23" s="18">
        <f>Кредит!G23</f>
        <v>0</v>
      </c>
      <c r="G23" s="18">
        <f>Кредит!I23</f>
        <v>0</v>
      </c>
      <c r="H23" s="18">
        <f>Продажи!N23</f>
        <v>0</v>
      </c>
      <c r="I23" s="18">
        <f>Кредит!P23</f>
        <v>6163.6985181852388</v>
      </c>
      <c r="J23" s="18">
        <f>Кредит!Q23</f>
        <v>83219.409639294754</v>
      </c>
      <c r="K23" s="18">
        <f>Кредит!R23</f>
        <v>0</v>
      </c>
      <c r="L23" s="18">
        <f t="shared" si="1"/>
        <v>-89383.10815747999</v>
      </c>
      <c r="M23" s="18">
        <f t="shared" si="2"/>
        <v>1472917443.1953082</v>
      </c>
      <c r="N23" s="18">
        <f t="shared" si="3"/>
        <v>-1472821896.3886325</v>
      </c>
      <c r="O23" s="27">
        <f t="shared" si="4"/>
        <v>-16430521390.234955</v>
      </c>
    </row>
    <row r="24" spans="1:15" x14ac:dyDescent="0.25">
      <c r="A24" s="1">
        <v>21</v>
      </c>
      <c r="B24" s="7">
        <v>46661</v>
      </c>
      <c r="C24" s="18">
        <f>Кредит!E24</f>
        <v>0</v>
      </c>
      <c r="D24" s="18">
        <f>Кредит!F24</f>
        <v>0</v>
      </c>
      <c r="E24" s="18">
        <f t="shared" si="0"/>
        <v>0</v>
      </c>
      <c r="F24" s="18">
        <f>Кредит!G24</f>
        <v>0</v>
      </c>
      <c r="G24" s="18">
        <f>Кредит!I24</f>
        <v>0</v>
      </c>
      <c r="H24" s="18">
        <f>Продажи!N24</f>
        <v>0</v>
      </c>
      <c r="I24" s="18">
        <f>Кредит!P24</f>
        <v>6164.3920132655658</v>
      </c>
      <c r="J24" s="18">
        <f>Кредит!Q24</f>
        <v>83199.298281965268</v>
      </c>
      <c r="K24" s="18">
        <f>Кредит!R24</f>
        <v>0</v>
      </c>
      <c r="L24" s="18">
        <f t="shared" si="1"/>
        <v>-89363.69029523083</v>
      </c>
      <c r="M24" s="18">
        <f t="shared" si="2"/>
        <v>1472828079.505013</v>
      </c>
      <c r="N24" s="18">
        <f t="shared" si="3"/>
        <v>-1472732551.4227045</v>
      </c>
      <c r="O24" s="27">
        <f t="shared" si="4"/>
        <v>-17903253941.657658</v>
      </c>
    </row>
    <row r="25" spans="1:15" x14ac:dyDescent="0.25">
      <c r="A25" s="1">
        <v>22</v>
      </c>
      <c r="B25" s="7">
        <v>46692</v>
      </c>
      <c r="C25" s="18">
        <f>Кредит!E25</f>
        <v>0</v>
      </c>
      <c r="D25" s="18">
        <f>Кредит!F25</f>
        <v>0</v>
      </c>
      <c r="E25" s="18">
        <f t="shared" si="0"/>
        <v>0</v>
      </c>
      <c r="F25" s="18">
        <f>Кредит!G25</f>
        <v>0</v>
      </c>
      <c r="G25" s="18">
        <f>Кредит!I25</f>
        <v>0</v>
      </c>
      <c r="H25" s="18">
        <f>Продажи!N25</f>
        <v>0</v>
      </c>
      <c r="I25" s="18">
        <f>Кредит!P25</f>
        <v>6165.0853407512477</v>
      </c>
      <c r="J25" s="18">
        <f>Кредит!Q25</f>
        <v>83179.191784880488</v>
      </c>
      <c r="K25" s="18">
        <f>Кредит!R25</f>
        <v>0</v>
      </c>
      <c r="L25" s="18">
        <f t="shared" si="1"/>
        <v>-89344.277125631736</v>
      </c>
      <c r="M25" s="18">
        <f t="shared" si="2"/>
        <v>1472738735.2278874</v>
      </c>
      <c r="N25" s="18">
        <f t="shared" si="3"/>
        <v>-1472643225.8654211</v>
      </c>
      <c r="O25" s="27">
        <f t="shared" si="4"/>
        <v>-19375897167.523079</v>
      </c>
    </row>
    <row r="26" spans="1:15" x14ac:dyDescent="0.25">
      <c r="A26" s="1">
        <v>23</v>
      </c>
      <c r="B26" s="7">
        <v>46722</v>
      </c>
      <c r="C26" s="18">
        <f>Кредит!E26</f>
        <v>0</v>
      </c>
      <c r="D26" s="18">
        <f>Кредит!F26</f>
        <v>0</v>
      </c>
      <c r="E26" s="18">
        <f t="shared" si="0"/>
        <v>0</v>
      </c>
      <c r="F26" s="18">
        <f>Кредит!G26</f>
        <v>0</v>
      </c>
      <c r="G26" s="18">
        <f>Кредит!I26</f>
        <v>0</v>
      </c>
      <c r="H26" s="18">
        <f>Продажи!N26</f>
        <v>0</v>
      </c>
      <c r="I26" s="18">
        <f>Кредит!P26</f>
        <v>6165.778500682788</v>
      </c>
      <c r="J26" s="18">
        <f>Кредит!Q26</f>
        <v>83159.090146865798</v>
      </c>
      <c r="K26" s="18">
        <f>Кредит!R26</f>
        <v>0</v>
      </c>
      <c r="L26" s="18">
        <f t="shared" si="1"/>
        <v>-89324.868647548588</v>
      </c>
      <c r="M26" s="18">
        <f t="shared" si="2"/>
        <v>1472649410.3592398</v>
      </c>
      <c r="N26" s="18">
        <f t="shared" si="3"/>
        <v>-1472553919.7120917</v>
      </c>
      <c r="O26" s="27">
        <f t="shared" si="4"/>
        <v>-20848451087.235172</v>
      </c>
    </row>
    <row r="27" spans="1:15" x14ac:dyDescent="0.25">
      <c r="A27" s="1">
        <v>24</v>
      </c>
      <c r="B27" s="7">
        <v>46753</v>
      </c>
      <c r="C27" s="18">
        <f>Кредит!E27</f>
        <v>0</v>
      </c>
      <c r="D27" s="18">
        <f>Кредит!F27</f>
        <v>0</v>
      </c>
      <c r="E27" s="18">
        <f t="shared" si="0"/>
        <v>0</v>
      </c>
      <c r="F27" s="18">
        <f>Кредит!G27</f>
        <v>0</v>
      </c>
      <c r="G27" s="18">
        <f>Кредит!I27</f>
        <v>0</v>
      </c>
      <c r="H27" s="18">
        <f>Продажи!N27</f>
        <v>0</v>
      </c>
      <c r="I27" s="18">
        <f>Кредит!P27</f>
        <v>6166.4714931006793</v>
      </c>
      <c r="J27" s="18">
        <f>Кредит!Q27</f>
        <v>83138.993366746974</v>
      </c>
      <c r="K27" s="18">
        <f>Кредит!R27</f>
        <v>0</v>
      </c>
      <c r="L27" s="18">
        <f t="shared" si="1"/>
        <v>-89305.464859847649</v>
      </c>
      <c r="M27" s="18">
        <f t="shared" si="2"/>
        <v>1472560104.8943799</v>
      </c>
      <c r="N27" s="18">
        <f t="shared" si="3"/>
        <v>-1472464632.9580269</v>
      </c>
      <c r="O27" s="27">
        <f t="shared" si="4"/>
        <v>-22320915720.193199</v>
      </c>
    </row>
    <row r="28" spans="1:15" x14ac:dyDescent="0.25">
      <c r="A28" s="1">
        <v>25</v>
      </c>
      <c r="B28" s="7">
        <v>46784</v>
      </c>
      <c r="C28" s="18">
        <f>Кредит!E28</f>
        <v>0</v>
      </c>
      <c r="D28" s="18">
        <f>Кредит!F28</f>
        <v>0</v>
      </c>
      <c r="E28" s="18">
        <f t="shared" si="0"/>
        <v>0</v>
      </c>
      <c r="F28" s="18">
        <f>Кредит!G28</f>
        <v>0</v>
      </c>
      <c r="G28" s="18">
        <f>Кредит!I28</f>
        <v>0</v>
      </c>
      <c r="H28" s="18">
        <f>Продажи!N28</f>
        <v>0</v>
      </c>
      <c r="I28" s="18">
        <f>Кредит!P28</f>
        <v>6167.1643180454021</v>
      </c>
      <c r="J28" s="18">
        <f>Кредит!Q28</f>
        <v>83118.901443350012</v>
      </c>
      <c r="K28" s="18">
        <f>Кредит!R28</f>
        <v>0</v>
      </c>
      <c r="L28" s="18">
        <f t="shared" si="1"/>
        <v>-89286.06576139541</v>
      </c>
      <c r="M28" s="18">
        <f t="shared" si="2"/>
        <v>1472470818.8286185</v>
      </c>
      <c r="N28" s="18">
        <f t="shared" si="3"/>
        <v>-1472375365.5985391</v>
      </c>
      <c r="O28" s="27">
        <f t="shared" si="4"/>
        <v>-23793291085.791737</v>
      </c>
    </row>
    <row r="29" spans="1:15" x14ac:dyDescent="0.25">
      <c r="A29" s="1">
        <v>26</v>
      </c>
      <c r="B29" s="7">
        <v>46813</v>
      </c>
      <c r="C29" s="18">
        <f>Кредит!E29</f>
        <v>0</v>
      </c>
      <c r="D29" s="18">
        <f>Кредит!F29</f>
        <v>0</v>
      </c>
      <c r="E29" s="18">
        <f t="shared" si="0"/>
        <v>0</v>
      </c>
      <c r="F29" s="18">
        <f>Кредит!G29</f>
        <v>0</v>
      </c>
      <c r="G29" s="18">
        <f>Кредит!I29</f>
        <v>0</v>
      </c>
      <c r="H29" s="18">
        <f>Продажи!N29</f>
        <v>0</v>
      </c>
      <c r="I29" s="18">
        <f>Кредит!P29</f>
        <v>6167.856975557429</v>
      </c>
      <c r="J29" s="18">
        <f>Кредит!Q29</f>
        <v>83098.814375501199</v>
      </c>
      <c r="K29" s="18">
        <f>Кредит!R29</f>
        <v>0</v>
      </c>
      <c r="L29" s="18">
        <f t="shared" si="1"/>
        <v>-89266.671351058627</v>
      </c>
      <c r="M29" s="18">
        <f t="shared" si="2"/>
        <v>1472381552.1572676</v>
      </c>
      <c r="N29" s="18">
        <f t="shared" si="3"/>
        <v>-1472286117.6289411</v>
      </c>
      <c r="O29" s="27">
        <f t="shared" si="4"/>
        <v>-25265577203.420677</v>
      </c>
    </row>
    <row r="30" spans="1:15" x14ac:dyDescent="0.25">
      <c r="A30" s="1">
        <v>27</v>
      </c>
      <c r="B30" s="7">
        <v>46844</v>
      </c>
      <c r="C30" s="18">
        <f>Кредит!E30</f>
        <v>0</v>
      </c>
      <c r="D30" s="18">
        <f>Кредит!F30</f>
        <v>0</v>
      </c>
      <c r="E30" s="18">
        <f t="shared" si="0"/>
        <v>0</v>
      </c>
      <c r="F30" s="18">
        <f>Кредит!G30</f>
        <v>0</v>
      </c>
      <c r="G30" s="18">
        <f>Кредит!I30</f>
        <v>0</v>
      </c>
      <c r="H30" s="18">
        <f>Продажи!N30</f>
        <v>0</v>
      </c>
      <c r="I30" s="18">
        <f>Кредит!P30</f>
        <v>6168.5494656772253</v>
      </c>
      <c r="J30" s="18">
        <f>Кредит!Q30</f>
        <v>83078.73216202711</v>
      </c>
      <c r="K30" s="18">
        <f>Кредит!R30</f>
        <v>0</v>
      </c>
      <c r="L30" s="18">
        <f t="shared" si="1"/>
        <v>-89247.281627704331</v>
      </c>
      <c r="M30" s="18">
        <f t="shared" si="2"/>
        <v>1472292304.8756399</v>
      </c>
      <c r="N30" s="18">
        <f t="shared" si="3"/>
        <v>-1472196889.0445466</v>
      </c>
      <c r="O30" s="27">
        <f t="shared" si="4"/>
        <v>-26737774092.465225</v>
      </c>
    </row>
    <row r="31" spans="1:15" x14ac:dyDescent="0.25">
      <c r="A31" s="1">
        <v>28</v>
      </c>
      <c r="B31" s="7">
        <v>46874</v>
      </c>
      <c r="C31" s="18">
        <f>Кредит!E31</f>
        <v>0</v>
      </c>
      <c r="D31" s="18">
        <f>Кредит!F31</f>
        <v>0</v>
      </c>
      <c r="E31" s="18">
        <f t="shared" si="0"/>
        <v>0</v>
      </c>
      <c r="F31" s="18">
        <f>Кредит!G31</f>
        <v>0</v>
      </c>
      <c r="G31" s="18">
        <f>Кредит!I31</f>
        <v>0</v>
      </c>
      <c r="H31" s="18">
        <f>Продажи!N31</f>
        <v>0</v>
      </c>
      <c r="I31" s="18">
        <f>Кредит!P31</f>
        <v>6169.2417884452434</v>
      </c>
      <c r="J31" s="18">
        <f>Кредит!Q31</f>
        <v>83058.654801754645</v>
      </c>
      <c r="K31" s="18">
        <f>Кредит!R31</f>
        <v>0</v>
      </c>
      <c r="L31" s="18">
        <f t="shared" si="1"/>
        <v>-89227.896590199889</v>
      </c>
      <c r="M31" s="18">
        <f t="shared" si="2"/>
        <v>1472203076.9790497</v>
      </c>
      <c r="N31" s="18">
        <f t="shared" si="3"/>
        <v>-1472107679.8406711</v>
      </c>
      <c r="O31" s="27">
        <f t="shared" si="4"/>
        <v>-28209881772.305897</v>
      </c>
    </row>
    <row r="32" spans="1:15" x14ac:dyDescent="0.25">
      <c r="A32" s="1">
        <v>29</v>
      </c>
      <c r="B32" s="7">
        <v>46905</v>
      </c>
      <c r="C32" s="18">
        <f>Кредит!E32</f>
        <v>0</v>
      </c>
      <c r="D32" s="18">
        <f>Кредит!F32</f>
        <v>0</v>
      </c>
      <c r="E32" s="18">
        <f t="shared" si="0"/>
        <v>0</v>
      </c>
      <c r="F32" s="18">
        <f>Кредит!G32</f>
        <v>0</v>
      </c>
      <c r="G32" s="18">
        <f>Кредит!I32</f>
        <v>0</v>
      </c>
      <c r="H32" s="18">
        <f>Продажи!N32</f>
        <v>0</v>
      </c>
      <c r="I32" s="18">
        <f>Кредит!P32</f>
        <v>6169.9339439019241</v>
      </c>
      <c r="J32" s="18">
        <f>Кредит!Q32</f>
        <v>83038.582293510888</v>
      </c>
      <c r="K32" s="18">
        <f>Кредит!R32</f>
        <v>0</v>
      </c>
      <c r="L32" s="18">
        <f t="shared" si="1"/>
        <v>-89208.516237412812</v>
      </c>
      <c r="M32" s="18">
        <f t="shared" si="2"/>
        <v>1472113868.4628122</v>
      </c>
      <c r="N32" s="18">
        <f t="shared" si="3"/>
        <v>-1472018490.0126309</v>
      </c>
      <c r="O32" s="27">
        <f t="shared" si="4"/>
        <v>-29681900262.318527</v>
      </c>
    </row>
    <row r="33" spans="1:15" x14ac:dyDescent="0.25">
      <c r="A33" s="1">
        <v>30</v>
      </c>
      <c r="B33" s="7">
        <v>46935</v>
      </c>
      <c r="C33" s="18">
        <f>Кредит!E33</f>
        <v>0</v>
      </c>
      <c r="D33" s="18">
        <f>Кредит!F33</f>
        <v>0</v>
      </c>
      <c r="E33" s="18">
        <f t="shared" si="0"/>
        <v>0</v>
      </c>
      <c r="F33" s="18">
        <f>Кредит!G33</f>
        <v>0</v>
      </c>
      <c r="G33" s="18">
        <f>Кредит!I33</f>
        <v>0</v>
      </c>
      <c r="H33" s="18">
        <f>Продажи!N33</f>
        <v>0</v>
      </c>
      <c r="I33" s="18">
        <f>Кредит!P33</f>
        <v>6170.6259320877034</v>
      </c>
      <c r="J33" s="18">
        <f>Кредит!Q33</f>
        <v>83018.514636123291</v>
      </c>
      <c r="K33" s="18">
        <f>Кредит!R33</f>
        <v>0</v>
      </c>
      <c r="L33" s="18">
        <f t="shared" si="1"/>
        <v>-89189.140568210991</v>
      </c>
      <c r="M33" s="18">
        <f t="shared" si="2"/>
        <v>1472024679.3222439</v>
      </c>
      <c r="N33" s="18">
        <f t="shared" si="3"/>
        <v>-1471929319.5557437</v>
      </c>
      <c r="O33" s="27">
        <f t="shared" si="4"/>
        <v>-31153829581.874271</v>
      </c>
    </row>
    <row r="34" spans="1:15" x14ac:dyDescent="0.25">
      <c r="A34" s="1">
        <v>31</v>
      </c>
      <c r="B34" s="7">
        <v>46966</v>
      </c>
      <c r="C34" s="18">
        <f>Кредит!E34</f>
        <v>0</v>
      </c>
      <c r="D34" s="18">
        <f>Кредит!F34</f>
        <v>0</v>
      </c>
      <c r="E34" s="18">
        <f t="shared" si="0"/>
        <v>0</v>
      </c>
      <c r="F34" s="18">
        <f>Кредит!G34</f>
        <v>0</v>
      </c>
      <c r="G34" s="18">
        <f>Кредит!I34</f>
        <v>0</v>
      </c>
      <c r="H34" s="18">
        <f>Продажи!N34</f>
        <v>0</v>
      </c>
      <c r="I34" s="18">
        <f>Кредит!P34</f>
        <v>6171.3177530430039</v>
      </c>
      <c r="J34" s="18">
        <f>Кредит!Q34</f>
        <v>82998.451828419551</v>
      </c>
      <c r="K34" s="18">
        <f>Кредит!R34</f>
        <v>0</v>
      </c>
      <c r="L34" s="18">
        <f t="shared" si="1"/>
        <v>-89169.769581462548</v>
      </c>
      <c r="M34" s="18">
        <f t="shared" si="2"/>
        <v>1471935509.5526624</v>
      </c>
      <c r="N34" s="18">
        <f t="shared" si="3"/>
        <v>-1471840168.465328</v>
      </c>
      <c r="O34" s="27">
        <f t="shared" si="4"/>
        <v>-32625669750.3396</v>
      </c>
    </row>
    <row r="35" spans="1:15" x14ac:dyDescent="0.25">
      <c r="A35" s="1">
        <v>32</v>
      </c>
      <c r="B35" s="7">
        <v>46997</v>
      </c>
      <c r="C35" s="18">
        <f>Кредит!E35</f>
        <v>0</v>
      </c>
      <c r="D35" s="18">
        <f>Кредит!F35</f>
        <v>0</v>
      </c>
      <c r="E35" s="18">
        <f t="shared" si="0"/>
        <v>0</v>
      </c>
      <c r="F35" s="18">
        <f>Кредит!G35</f>
        <v>0</v>
      </c>
      <c r="G35" s="18">
        <f>Кредит!I35</f>
        <v>0</v>
      </c>
      <c r="H35" s="18">
        <f>Продажи!N35</f>
        <v>0</v>
      </c>
      <c r="I35" s="18">
        <f>Кредит!P35</f>
        <v>6172.0094068082408</v>
      </c>
      <c r="J35" s="18">
        <f>Кредит!Q35</f>
        <v>82978.393869227686</v>
      </c>
      <c r="K35" s="18">
        <f>Кредит!R35</f>
        <v>0</v>
      </c>
      <c r="L35" s="18">
        <f t="shared" si="1"/>
        <v>-89150.403276035926</v>
      </c>
      <c r="M35" s="18">
        <f t="shared" si="2"/>
        <v>1471846359.1493864</v>
      </c>
      <c r="N35" s="18">
        <f t="shared" si="3"/>
        <v>-1471751036.7367036</v>
      </c>
      <c r="O35" s="27">
        <f t="shared" si="4"/>
        <v>-34097420787.076302</v>
      </c>
    </row>
    <row r="36" spans="1:15" x14ac:dyDescent="0.25">
      <c r="A36" s="1">
        <v>33</v>
      </c>
      <c r="B36" s="7">
        <v>47027</v>
      </c>
      <c r="C36" s="18">
        <f>Кредит!E36</f>
        <v>0</v>
      </c>
      <c r="D36" s="18">
        <f>Кредит!F36</f>
        <v>0</v>
      </c>
      <c r="E36" s="18">
        <f t="shared" si="0"/>
        <v>0</v>
      </c>
      <c r="F36" s="18">
        <f>Кредит!G36</f>
        <v>0</v>
      </c>
      <c r="G36" s="18">
        <f>Кредит!I36</f>
        <v>0</v>
      </c>
      <c r="H36" s="18">
        <f>Продажи!N36</f>
        <v>0</v>
      </c>
      <c r="I36" s="18">
        <f>Кредит!P36</f>
        <v>6172.7008934238183</v>
      </c>
      <c r="J36" s="18">
        <f>Кредит!Q36</f>
        <v>82958.340757375947</v>
      </c>
      <c r="K36" s="18">
        <f>Кредит!R36</f>
        <v>0</v>
      </c>
      <c r="L36" s="18">
        <f t="shared" si="1"/>
        <v>-89131.041650799772</v>
      </c>
      <c r="M36" s="18">
        <f t="shared" si="2"/>
        <v>1471757228.1077356</v>
      </c>
      <c r="N36" s="18">
        <f t="shared" si="3"/>
        <v>-1471661924.3651915</v>
      </c>
      <c r="O36" s="27">
        <f t="shared" si="4"/>
        <v>-35569082711.44149</v>
      </c>
    </row>
    <row r="37" spans="1:15" x14ac:dyDescent="0.25">
      <c r="A37" s="1">
        <v>34</v>
      </c>
      <c r="B37" s="7">
        <v>47058</v>
      </c>
      <c r="C37" s="18">
        <f>Кредит!E37</f>
        <v>0</v>
      </c>
      <c r="D37" s="18">
        <f>Кредит!F37</f>
        <v>0</v>
      </c>
      <c r="E37" s="18">
        <f t="shared" si="0"/>
        <v>0</v>
      </c>
      <c r="F37" s="18">
        <f>Кредит!G37</f>
        <v>0</v>
      </c>
      <c r="G37" s="18">
        <f>Кредит!I37</f>
        <v>0</v>
      </c>
      <c r="H37" s="18">
        <f>Продажи!N37</f>
        <v>0</v>
      </c>
      <c r="I37" s="18">
        <f>Кредит!P37</f>
        <v>6173.3922129301291</v>
      </c>
      <c r="J37" s="18">
        <f>Кредит!Q37</f>
        <v>82938.292491692919</v>
      </c>
      <c r="K37" s="18">
        <f>Кредит!R37</f>
        <v>0</v>
      </c>
      <c r="L37" s="18">
        <f t="shared" si="1"/>
        <v>-89111.684704623054</v>
      </c>
      <c r="M37" s="18">
        <f t="shared" si="2"/>
        <v>1471668116.4230311</v>
      </c>
      <c r="N37" s="18">
        <f t="shared" si="3"/>
        <v>-1471572831.3461134</v>
      </c>
      <c r="O37" s="27">
        <f t="shared" si="4"/>
        <v>-37040655542.787605</v>
      </c>
    </row>
    <row r="38" spans="1:15" x14ac:dyDescent="0.25">
      <c r="A38" s="1">
        <v>35</v>
      </c>
      <c r="B38" s="7">
        <v>47088</v>
      </c>
      <c r="C38" s="18">
        <f>Кредит!E38</f>
        <v>0</v>
      </c>
      <c r="D38" s="18">
        <f>Кредит!F38</f>
        <v>0</v>
      </c>
      <c r="E38" s="18">
        <f t="shared" si="0"/>
        <v>0</v>
      </c>
      <c r="F38" s="18">
        <f>Кредит!G38</f>
        <v>0</v>
      </c>
      <c r="G38" s="18">
        <f>Кредит!I38</f>
        <v>0</v>
      </c>
      <c r="H38" s="18">
        <f>Продажи!N38</f>
        <v>0</v>
      </c>
      <c r="I38" s="18">
        <f>Кредит!P38</f>
        <v>6174.0833653675591</v>
      </c>
      <c r="J38" s="18">
        <f>Кредит!Q38</f>
        <v>82918.249071007434</v>
      </c>
      <c r="K38" s="18">
        <f>Кредит!R38</f>
        <v>0</v>
      </c>
      <c r="L38" s="18">
        <f t="shared" si="1"/>
        <v>-89092.332436375</v>
      </c>
      <c r="M38" s="18">
        <f t="shared" si="2"/>
        <v>1471579024.0905948</v>
      </c>
      <c r="N38" s="18">
        <f t="shared" si="3"/>
        <v>-1471483757.674793</v>
      </c>
      <c r="O38" s="27">
        <f t="shared" si="4"/>
        <v>-38512139300.462395</v>
      </c>
    </row>
    <row r="39" spans="1:15" x14ac:dyDescent="0.25">
      <c r="A39" s="1">
        <v>36</v>
      </c>
      <c r="B39" s="7">
        <v>47119</v>
      </c>
      <c r="C39" s="18">
        <f>Кредит!E39</f>
        <v>0</v>
      </c>
      <c r="D39" s="18">
        <f>Кредит!F39</f>
        <v>0</v>
      </c>
      <c r="E39" s="18">
        <f t="shared" si="0"/>
        <v>0</v>
      </c>
      <c r="F39" s="18">
        <f>Кредит!G39</f>
        <v>0</v>
      </c>
      <c r="G39" s="18">
        <f>Кредит!I39</f>
        <v>0</v>
      </c>
      <c r="H39" s="18">
        <f>Продажи!N39</f>
        <v>0</v>
      </c>
      <c r="I39" s="18">
        <f>Кредит!P39</f>
        <v>6174.7743507764853</v>
      </c>
      <c r="J39" s="18">
        <f>Кредит!Q39</f>
        <v>82898.210494148603</v>
      </c>
      <c r="K39" s="18">
        <f>Кредит!R39</f>
        <v>0</v>
      </c>
      <c r="L39" s="18">
        <f t="shared" si="1"/>
        <v>-89072.984844925086</v>
      </c>
      <c r="M39" s="18">
        <f t="shared" si="2"/>
        <v>1471489951.1057498</v>
      </c>
      <c r="N39" s="18">
        <f t="shared" si="3"/>
        <v>-1471394703.346554</v>
      </c>
      <c r="O39" s="27">
        <f t="shared" si="4"/>
        <v>-39983534003.808952</v>
      </c>
    </row>
    <row r="40" spans="1: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5" x14ac:dyDescent="0.25">
      <c r="A41" s="1" t="s">
        <v>226</v>
      </c>
      <c r="B41" s="1"/>
      <c r="C41" s="19">
        <f t="shared" ref="C41:M41" si="5">SUM(C4:C39)</f>
        <v>824486609.80000007</v>
      </c>
      <c r="D41" s="19">
        <f t="shared" si="5"/>
        <v>44225612.71415595</v>
      </c>
      <c r="E41" s="19">
        <f t="shared" si="5"/>
        <v>868712222.51415575</v>
      </c>
      <c r="F41" s="19">
        <f t="shared" si="5"/>
        <v>130567447.04387765</v>
      </c>
      <c r="G41" s="19">
        <f t="shared" si="5"/>
        <v>738144775.47027814</v>
      </c>
      <c r="H41" s="19">
        <f t="shared" si="5"/>
        <v>1474187090.4718649</v>
      </c>
      <c r="I41" s="19">
        <f t="shared" si="5"/>
        <v>111040.08112751944</v>
      </c>
      <c r="J41" s="19">
        <f t="shared" si="5"/>
        <v>2586099.2849877197</v>
      </c>
      <c r="K41" s="19">
        <f t="shared" si="5"/>
        <v>0</v>
      </c>
      <c r="L41" s="19">
        <f t="shared" si="5"/>
        <v>1471489951.1057498</v>
      </c>
      <c r="M41" s="19">
        <f t="shared" si="5"/>
        <v>38512155092.784325</v>
      </c>
      <c r="N41" s="1"/>
    </row>
  </sheetData>
  <mergeCells count="1">
    <mergeCell ref="A1:N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9"/>
  <sheetViews>
    <sheetView showGridLines="0" workbookViewId="0"/>
  </sheetViews>
  <sheetFormatPr defaultRowHeight="15" x14ac:dyDescent="0.25"/>
  <cols>
    <col min="1" max="1" width="8" style="32" customWidth="1"/>
    <col min="2" max="2" width="14" style="32" customWidth="1"/>
    <col min="3" max="4" width="12" style="32" customWidth="1"/>
    <col min="5" max="5" width="18" style="32" customWidth="1"/>
    <col min="6" max="6" width="20" style="32" customWidth="1"/>
    <col min="7" max="7" width="15" style="32" customWidth="1"/>
    <col min="8" max="8" width="17" style="32" customWidth="1"/>
    <col min="9" max="9" width="16" style="32" customWidth="1"/>
    <col min="10" max="10" width="28" style="32" customWidth="1"/>
  </cols>
  <sheetData>
    <row r="1" spans="1:10" x14ac:dyDescent="0.25">
      <c r="A1" s="36" t="s">
        <v>257</v>
      </c>
      <c r="B1" s="37"/>
      <c r="C1" s="37"/>
      <c r="D1" s="37"/>
      <c r="E1" s="37"/>
      <c r="F1" s="37"/>
      <c r="G1" s="37"/>
      <c r="H1" s="37"/>
      <c r="I1" s="37"/>
      <c r="J1" s="37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30" customHeight="1" x14ac:dyDescent="0.25">
      <c r="A3" s="2" t="s">
        <v>210</v>
      </c>
      <c r="B3" s="2" t="s">
        <v>258</v>
      </c>
      <c r="C3" s="2" t="s">
        <v>259</v>
      </c>
      <c r="D3" s="2" t="s">
        <v>260</v>
      </c>
      <c r="E3" s="2" t="s">
        <v>261</v>
      </c>
      <c r="F3" s="2" t="s">
        <v>262</v>
      </c>
      <c r="G3" s="2" t="s">
        <v>263</v>
      </c>
      <c r="H3" s="2" t="s">
        <v>264</v>
      </c>
      <c r="I3" s="2" t="s">
        <v>265</v>
      </c>
      <c r="J3" s="2" t="s">
        <v>4</v>
      </c>
    </row>
    <row r="4" spans="1:10" ht="30" customHeight="1" x14ac:dyDescent="0.25">
      <c r="A4" s="1">
        <v>1</v>
      </c>
      <c r="B4" s="7">
        <v>46054</v>
      </c>
      <c r="C4" s="21">
        <f>IF(AND(A4&gt;=3,A4&lt;=18),Вводные!$B10*Вводные!$B69/16,0)</f>
        <v>0</v>
      </c>
      <c r="D4" s="21">
        <f>IF(AND(A4&gt;=3,A4&lt;=18),Вводные!$B10*Вводные!$B70/16,0)</f>
        <v>0</v>
      </c>
      <c r="E4" s="18">
        <f>IF(AND(A4&gt;=12,A4&lt;=20),Структура_затрат!H14/9,0)</f>
        <v>0</v>
      </c>
      <c r="F4" s="18">
        <f>IF(AND(A4&gt;=13,A4&lt;=22),SUM(Структура_затрат!H18:H22)/10,0)</f>
        <v>0</v>
      </c>
      <c r="G4" s="23">
        <v>46023</v>
      </c>
      <c r="H4" s="23">
        <v>45992</v>
      </c>
      <c r="I4" s="23">
        <v>45992</v>
      </c>
      <c r="J4" s="1" t="s">
        <v>266</v>
      </c>
    </row>
    <row r="5" spans="1:10" ht="30" customHeight="1" x14ac:dyDescent="0.25">
      <c r="A5" s="1">
        <v>2</v>
      </c>
      <c r="B5" s="7">
        <v>46082</v>
      </c>
      <c r="C5" s="21">
        <f>IF(AND(A5&gt;=3,A5&lt;=18),Вводные!$B10*Вводные!$B69/16,0)</f>
        <v>0</v>
      </c>
      <c r="D5" s="21">
        <f>IF(AND(A5&gt;=3,A5&lt;=18),Вводные!$B10*Вводные!$B70/16,0)</f>
        <v>0</v>
      </c>
      <c r="E5" s="18">
        <f>IF(AND(A5&gt;=12,A5&lt;=20),Структура_затрат!H14/9,0)</f>
        <v>0</v>
      </c>
      <c r="F5" s="18">
        <f>IF(AND(A5&gt;=13,A5&lt;=22),SUM(Структура_затрат!H18:H22)/10,0)</f>
        <v>0</v>
      </c>
      <c r="G5" s="23">
        <v>46054</v>
      </c>
      <c r="H5" s="23">
        <v>46023</v>
      </c>
      <c r="I5" s="23">
        <v>46023</v>
      </c>
      <c r="J5" s="1" t="s">
        <v>266</v>
      </c>
    </row>
    <row r="6" spans="1:10" ht="30" customHeight="1" x14ac:dyDescent="0.25">
      <c r="A6" s="1">
        <v>3</v>
      </c>
      <c r="B6" s="7">
        <v>46113</v>
      </c>
      <c r="C6" s="21">
        <f>IF(AND(A6&gt;=3,A6&lt;=18),Вводные!$B10*Вводные!$B69/16,0)</f>
        <v>0</v>
      </c>
      <c r="D6" s="21">
        <f>IF(AND(A6&gt;=3,A6&lt;=18),Вводные!$B10*Вводные!$B70/16,0)</f>
        <v>0</v>
      </c>
      <c r="E6" s="18">
        <f>IF(AND(A6&gt;=12,A6&lt;=20),Структура_затрат!H14/9,0)</f>
        <v>0</v>
      </c>
      <c r="F6" s="18">
        <f>IF(AND(A6&gt;=13,A6&lt;=22),SUM(Структура_затрат!H18:H22)/10,0)</f>
        <v>0</v>
      </c>
      <c r="G6" s="23">
        <v>46082</v>
      </c>
      <c r="H6" s="23">
        <v>46054</v>
      </c>
      <c r="I6" s="23">
        <v>46054</v>
      </c>
      <c r="J6" s="1" t="s">
        <v>266</v>
      </c>
    </row>
    <row r="7" spans="1:10" ht="30" customHeight="1" x14ac:dyDescent="0.25">
      <c r="A7" s="1">
        <v>4</v>
      </c>
      <c r="B7" s="7">
        <v>46143</v>
      </c>
      <c r="C7" s="21">
        <f>IF(AND(A7&gt;=3,A7&lt;=18),Вводные!$B10*Вводные!$B69/16,0)</f>
        <v>0</v>
      </c>
      <c r="D7" s="21">
        <f>IF(AND(A7&gt;=3,A7&lt;=18),Вводные!$B10*Вводные!$B70/16,0)</f>
        <v>0</v>
      </c>
      <c r="E7" s="18">
        <f>IF(AND(A7&gt;=12,A7&lt;=20),Структура_затрат!H14/9,0)</f>
        <v>0</v>
      </c>
      <c r="F7" s="18">
        <f>IF(AND(A7&gt;=13,A7&lt;=22),SUM(Структура_затрат!H18:H22)/10,0)</f>
        <v>0</v>
      </c>
      <c r="G7" s="23">
        <v>46113</v>
      </c>
      <c r="H7" s="23">
        <v>46082</v>
      </c>
      <c r="I7" s="23">
        <v>46082</v>
      </c>
      <c r="J7" s="1" t="s">
        <v>266</v>
      </c>
    </row>
    <row r="8" spans="1:10" ht="30" customHeight="1" x14ac:dyDescent="0.25">
      <c r="A8" s="1">
        <v>5</v>
      </c>
      <c r="B8" s="7">
        <v>46174</v>
      </c>
      <c r="C8" s="21">
        <f>IF(AND(A8&gt;=3,A8&lt;=18),Вводные!$B10*Вводные!$B69/16,0)</f>
        <v>0</v>
      </c>
      <c r="D8" s="21">
        <f>IF(AND(A8&gt;=3,A8&lt;=18),Вводные!$B10*Вводные!$B70/16,0)</f>
        <v>0</v>
      </c>
      <c r="E8" s="18">
        <f>IF(AND(A8&gt;=12,A8&lt;=20),Структура_затрат!H14/9,0)</f>
        <v>0</v>
      </c>
      <c r="F8" s="18">
        <f>IF(AND(A8&gt;=13,A8&lt;=22),SUM(Структура_затрат!H18:H22)/10,0)</f>
        <v>0</v>
      </c>
      <c r="G8" s="23">
        <v>46143</v>
      </c>
      <c r="H8" s="23">
        <v>46113</v>
      </c>
      <c r="I8" s="23">
        <v>46113</v>
      </c>
      <c r="J8" s="1" t="s">
        <v>266</v>
      </c>
    </row>
    <row r="9" spans="1:10" ht="30" customHeight="1" x14ac:dyDescent="0.25">
      <c r="A9" s="1">
        <v>6</v>
      </c>
      <c r="B9" s="7">
        <v>46204</v>
      </c>
      <c r="C9" s="21">
        <f>IF(AND(A9&gt;=3,A9&lt;=18),Вводные!$B10*Вводные!$B69/16,0)</f>
        <v>0</v>
      </c>
      <c r="D9" s="21">
        <f>IF(AND(A9&gt;=3,A9&lt;=18),Вводные!$B10*Вводные!$B70/16,0)</f>
        <v>0</v>
      </c>
      <c r="E9" s="18">
        <f>IF(AND(A9&gt;=12,A9&lt;=20),Структура_затрат!H14/9,0)</f>
        <v>0</v>
      </c>
      <c r="F9" s="18">
        <f>IF(AND(A9&gt;=13,A9&lt;=22),SUM(Структура_затрат!H18:H22)/10,0)</f>
        <v>0</v>
      </c>
      <c r="G9" s="23">
        <v>46174</v>
      </c>
      <c r="H9" s="23">
        <v>46143</v>
      </c>
      <c r="I9" s="23">
        <v>46143</v>
      </c>
      <c r="J9" s="1" t="s">
        <v>266</v>
      </c>
    </row>
    <row r="10" spans="1:10" ht="30" customHeight="1" x14ac:dyDescent="0.25">
      <c r="A10" s="1">
        <v>7</v>
      </c>
      <c r="B10" s="7">
        <v>46235</v>
      </c>
      <c r="C10" s="21">
        <f>IF(AND(A10&gt;=3,A10&lt;=18),Вводные!$B10*Вводные!$B69/16,0)</f>
        <v>0</v>
      </c>
      <c r="D10" s="21">
        <f>IF(AND(A10&gt;=3,A10&lt;=18),Вводные!$B10*Вводные!$B70/16,0)</f>
        <v>0</v>
      </c>
      <c r="E10" s="18">
        <f>IF(AND(A10&gt;=12,A10&lt;=20),Структура_затрат!H14/9,0)</f>
        <v>0</v>
      </c>
      <c r="F10" s="18">
        <f>IF(AND(A10&gt;=13,A10&lt;=22),SUM(Структура_затрат!H18:H22)/10,0)</f>
        <v>0</v>
      </c>
      <c r="G10" s="23">
        <v>46204</v>
      </c>
      <c r="H10" s="23">
        <v>46174</v>
      </c>
      <c r="I10" s="23">
        <v>46174</v>
      </c>
      <c r="J10" s="1" t="s">
        <v>266</v>
      </c>
    </row>
    <row r="11" spans="1:10" ht="30" customHeight="1" x14ac:dyDescent="0.25">
      <c r="A11" s="1">
        <v>8</v>
      </c>
      <c r="B11" s="7">
        <v>46266</v>
      </c>
      <c r="C11" s="21">
        <f>IF(AND(A11&gt;=3,A11&lt;=18),Вводные!$B10*Вводные!$B69/16,0)</f>
        <v>0</v>
      </c>
      <c r="D11" s="21">
        <f>IF(AND(A11&gt;=3,A11&lt;=18),Вводные!$B10*Вводные!$B70/16,0)</f>
        <v>0</v>
      </c>
      <c r="E11" s="18">
        <f>IF(AND(A11&gt;=12,A11&lt;=20),Структура_затрат!H14/9,0)</f>
        <v>0</v>
      </c>
      <c r="F11" s="18">
        <f>IF(AND(A11&gt;=13,A11&lt;=22),SUM(Структура_затрат!H18:H22)/10,0)</f>
        <v>0</v>
      </c>
      <c r="G11" s="23">
        <v>46235</v>
      </c>
      <c r="H11" s="23">
        <v>46204</v>
      </c>
      <c r="I11" s="23">
        <v>46204</v>
      </c>
      <c r="J11" s="1" t="s">
        <v>266</v>
      </c>
    </row>
    <row r="12" spans="1:10" ht="30" customHeight="1" x14ac:dyDescent="0.25">
      <c r="A12" s="1">
        <v>9</v>
      </c>
      <c r="B12" s="7">
        <v>46296</v>
      </c>
      <c r="C12" s="21">
        <f>IF(AND(A12&gt;=3,A12&lt;=18),Вводные!$B10*Вводные!$B69/16,0)</f>
        <v>0</v>
      </c>
      <c r="D12" s="21">
        <f>IF(AND(A12&gt;=3,A12&lt;=18),Вводные!$B10*Вводные!$B70/16,0)</f>
        <v>0</v>
      </c>
      <c r="E12" s="18">
        <f>IF(AND(A12&gt;=12,A12&lt;=20),Структура_затрат!H14/9,0)</f>
        <v>0</v>
      </c>
      <c r="F12" s="18">
        <f>IF(AND(A12&gt;=13,A12&lt;=22),SUM(Структура_затрат!H18:H22)/10,0)</f>
        <v>0</v>
      </c>
      <c r="G12" s="23">
        <v>46266</v>
      </c>
      <c r="H12" s="23">
        <v>46235</v>
      </c>
      <c r="I12" s="23">
        <v>46235</v>
      </c>
      <c r="J12" s="1" t="s">
        <v>266</v>
      </c>
    </row>
    <row r="13" spans="1:10" ht="30" customHeight="1" x14ac:dyDescent="0.25">
      <c r="A13" s="1">
        <v>10</v>
      </c>
      <c r="B13" s="7">
        <v>46327</v>
      </c>
      <c r="C13" s="21">
        <f>IF(AND(A13&gt;=3,A13&lt;=18),Вводные!$B10*Вводные!$B69/16,0)</f>
        <v>0</v>
      </c>
      <c r="D13" s="21">
        <f>IF(AND(A13&gt;=3,A13&lt;=18),Вводные!$B10*Вводные!$B70/16,0)</f>
        <v>0</v>
      </c>
      <c r="E13" s="18">
        <f>IF(AND(A13&gt;=12,A13&lt;=20),Структура_затрат!H14/9,0)</f>
        <v>0</v>
      </c>
      <c r="F13" s="18">
        <f>IF(AND(A13&gt;=13,A13&lt;=22),SUM(Структура_затрат!H18:H22)/10,0)</f>
        <v>0</v>
      </c>
      <c r="G13" s="23">
        <v>46296</v>
      </c>
      <c r="H13" s="23">
        <v>46266</v>
      </c>
      <c r="I13" s="23">
        <v>46266</v>
      </c>
      <c r="J13" s="1" t="s">
        <v>266</v>
      </c>
    </row>
    <row r="14" spans="1:10" ht="30" customHeight="1" x14ac:dyDescent="0.25">
      <c r="A14" s="1">
        <v>11</v>
      </c>
      <c r="B14" s="7">
        <v>46357</v>
      </c>
      <c r="C14" s="21">
        <f>IF(AND(A14&gt;=3,A14&lt;=18),Вводные!$B10*Вводные!$B69/16,0)</f>
        <v>0</v>
      </c>
      <c r="D14" s="21">
        <f>IF(AND(A14&gt;=3,A14&lt;=18),Вводные!$B10*Вводные!$B70/16,0)</f>
        <v>0</v>
      </c>
      <c r="E14" s="18">
        <f>IF(AND(A14&gt;=12,A14&lt;=20),Структура_затрат!H14/9,0)</f>
        <v>0</v>
      </c>
      <c r="F14" s="18">
        <f>IF(AND(A14&gt;=13,A14&lt;=22),SUM(Структура_затрат!H18:H22)/10,0)</f>
        <v>0</v>
      </c>
      <c r="G14" s="23">
        <v>46327</v>
      </c>
      <c r="H14" s="23">
        <v>46296</v>
      </c>
      <c r="I14" s="23">
        <v>46296</v>
      </c>
      <c r="J14" s="1" t="s">
        <v>266</v>
      </c>
    </row>
    <row r="15" spans="1:10" ht="30" customHeight="1" x14ac:dyDescent="0.25">
      <c r="A15" s="1">
        <v>12</v>
      </c>
      <c r="B15" s="7">
        <v>46388</v>
      </c>
      <c r="C15" s="21">
        <f>IF(AND(A15&gt;=3,A15&lt;=18),Вводные!$B10*Вводные!$B69/16,0)</f>
        <v>0</v>
      </c>
      <c r="D15" s="21">
        <f>IF(AND(A15&gt;=3,A15&lt;=18),Вводные!$B10*Вводные!$B70/16,0)</f>
        <v>0</v>
      </c>
      <c r="E15" s="18">
        <f>IF(AND(A15&gt;=12,A15&lt;=20),Структура_затрат!H14/9,0)</f>
        <v>11634934.444444444</v>
      </c>
      <c r="F15" s="18">
        <f>IF(AND(A15&gt;=13,A15&lt;=22),SUM(Структура_затрат!H18:H22)/10,0)</f>
        <v>0</v>
      </c>
      <c r="G15" s="23">
        <v>46357</v>
      </c>
      <c r="H15" s="23">
        <v>46327</v>
      </c>
      <c r="I15" s="23">
        <v>46327</v>
      </c>
      <c r="J15" s="1" t="s">
        <v>266</v>
      </c>
    </row>
    <row r="16" spans="1:10" ht="30" customHeight="1" x14ac:dyDescent="0.25">
      <c r="A16" s="1">
        <v>13</v>
      </c>
      <c r="B16" s="7">
        <v>46419</v>
      </c>
      <c r="C16" s="21">
        <f>IF(AND(A16&gt;=3,A16&lt;=18),Вводные!$B10*Вводные!$B69/16,0)</f>
        <v>0</v>
      </c>
      <c r="D16" s="21">
        <f>IF(AND(A16&gt;=3,A16&lt;=18),Вводные!$B10*Вводные!$B70/16,0)</f>
        <v>0</v>
      </c>
      <c r="E16" s="18">
        <f>IF(AND(A16&gt;=12,A16&lt;=20),Структура_затрат!H14/9,0)</f>
        <v>11634934.444444444</v>
      </c>
      <c r="F16" s="18">
        <f>IF(AND(A16&gt;=13,A16&lt;=22),SUM(Структура_затрат!H18:H22)/10,0)</f>
        <v>17142936.399999999</v>
      </c>
      <c r="G16" s="23">
        <v>46388</v>
      </c>
      <c r="H16" s="23">
        <v>46357</v>
      </c>
      <c r="I16" s="23">
        <v>46357</v>
      </c>
      <c r="J16" s="1" t="s">
        <v>266</v>
      </c>
    </row>
    <row r="17" spans="1:10" ht="30" customHeight="1" x14ac:dyDescent="0.25">
      <c r="A17" s="1">
        <v>14</v>
      </c>
      <c r="B17" s="7">
        <v>46447</v>
      </c>
      <c r="C17" s="21">
        <f>IF(AND(A17&gt;=3,A17&lt;=18),Вводные!$B10*Вводные!$B69/16,0)</f>
        <v>0</v>
      </c>
      <c r="D17" s="21">
        <f>IF(AND(A17&gt;=3,A17&lt;=18),Вводные!$B10*Вводные!$B70/16,0)</f>
        <v>0</v>
      </c>
      <c r="E17" s="18">
        <f>IF(AND(A17&gt;=12,A17&lt;=20),Структура_затрат!H14/9,0)</f>
        <v>11634934.444444444</v>
      </c>
      <c r="F17" s="18">
        <f>IF(AND(A17&gt;=13,A17&lt;=22),SUM(Структура_затрат!H18:H22)/10,0)</f>
        <v>17142936.399999999</v>
      </c>
      <c r="G17" s="23">
        <v>46419</v>
      </c>
      <c r="H17" s="23">
        <v>46388</v>
      </c>
      <c r="I17" s="23">
        <v>46388</v>
      </c>
      <c r="J17" s="1" t="s">
        <v>266</v>
      </c>
    </row>
    <row r="18" spans="1:10" ht="30" customHeight="1" x14ac:dyDescent="0.25">
      <c r="A18" s="1">
        <v>15</v>
      </c>
      <c r="B18" s="7">
        <v>46478</v>
      </c>
      <c r="C18" s="21">
        <f>IF(AND(A18&gt;=3,A18&lt;=18),Вводные!$B10*Вводные!$B69/16,0)</f>
        <v>0</v>
      </c>
      <c r="D18" s="21">
        <f>IF(AND(A18&gt;=3,A18&lt;=18),Вводные!$B10*Вводные!$B70/16,0)</f>
        <v>0</v>
      </c>
      <c r="E18" s="18">
        <f>IF(AND(A18&gt;=12,A18&lt;=20),Структура_затрат!H14/9,0)</f>
        <v>11634934.444444444</v>
      </c>
      <c r="F18" s="18">
        <f>IF(AND(A18&gt;=13,A18&lt;=22),SUM(Структура_затрат!H18:H22)/10,0)</f>
        <v>17142936.399999999</v>
      </c>
      <c r="G18" s="23">
        <v>46447</v>
      </c>
      <c r="H18" s="23">
        <v>46419</v>
      </c>
      <c r="I18" s="23">
        <v>46419</v>
      </c>
      <c r="J18" s="1" t="s">
        <v>266</v>
      </c>
    </row>
    <row r="19" spans="1:10" ht="30" customHeight="1" x14ac:dyDescent="0.25">
      <c r="A19" s="1">
        <v>16</v>
      </c>
      <c r="B19" s="7">
        <v>46508</v>
      </c>
      <c r="C19" s="21">
        <f>IF(AND(A19&gt;=3,A19&lt;=18),Вводные!$B10*Вводные!$B69/16,0)</f>
        <v>0</v>
      </c>
      <c r="D19" s="21">
        <f>IF(AND(A19&gt;=3,A19&lt;=18),Вводные!$B10*Вводные!$B70/16,0)</f>
        <v>0</v>
      </c>
      <c r="E19" s="18">
        <f>IF(AND(A19&gt;=12,A19&lt;=20),Структура_затрат!H14/9,0)</f>
        <v>11634934.444444444</v>
      </c>
      <c r="F19" s="18">
        <f>IF(AND(A19&gt;=13,A19&lt;=22),SUM(Структура_затрат!H18:H22)/10,0)</f>
        <v>17142936.399999999</v>
      </c>
      <c r="G19" s="23">
        <v>46478</v>
      </c>
      <c r="H19" s="23">
        <v>46447</v>
      </c>
      <c r="I19" s="23">
        <v>46447</v>
      </c>
      <c r="J19" s="1" t="s">
        <v>266</v>
      </c>
    </row>
    <row r="20" spans="1:10" ht="30" customHeight="1" x14ac:dyDescent="0.25">
      <c r="A20" s="1">
        <v>17</v>
      </c>
      <c r="B20" s="7">
        <v>46539</v>
      </c>
      <c r="C20" s="21">
        <f>IF(AND(A20&gt;=3,A20&lt;=18),Вводные!$B10*Вводные!$B69/16,0)</f>
        <v>0</v>
      </c>
      <c r="D20" s="21">
        <f>IF(AND(A20&gt;=3,A20&lt;=18),Вводные!$B10*Вводные!$B70/16,0)</f>
        <v>0</v>
      </c>
      <c r="E20" s="18">
        <f>IF(AND(A20&gt;=12,A20&lt;=20),Структура_затрат!H14/9,0)</f>
        <v>11634934.444444444</v>
      </c>
      <c r="F20" s="18">
        <f>IF(AND(A20&gt;=13,A20&lt;=22),SUM(Структура_затрат!H18:H22)/10,0)</f>
        <v>17142936.399999999</v>
      </c>
      <c r="G20" s="23">
        <v>46508</v>
      </c>
      <c r="H20" s="23">
        <v>46478</v>
      </c>
      <c r="I20" s="23">
        <v>46478</v>
      </c>
      <c r="J20" s="1" t="s">
        <v>266</v>
      </c>
    </row>
    <row r="21" spans="1:10" ht="30" customHeight="1" x14ac:dyDescent="0.25">
      <c r="A21" s="1">
        <v>18</v>
      </c>
      <c r="B21" s="7">
        <v>46569</v>
      </c>
      <c r="C21" s="21">
        <f>IF(AND(A21&gt;=3,A21&lt;=18),Вводные!$B10*Вводные!$B69/16,0)</f>
        <v>0</v>
      </c>
      <c r="D21" s="21">
        <f>IF(AND(A21&gt;=3,A21&lt;=18),Вводные!$B10*Вводные!$B70/16,0)</f>
        <v>0</v>
      </c>
      <c r="E21" s="18">
        <f>IF(AND(A21&gt;=12,A21&lt;=20),Структура_затрат!H14/9,0)</f>
        <v>11634934.444444444</v>
      </c>
      <c r="F21" s="18">
        <f>IF(AND(A21&gt;=13,A21&lt;=22),SUM(Структура_затрат!H18:H22)/10,0)</f>
        <v>17142936.399999999</v>
      </c>
      <c r="G21" s="23">
        <v>46539</v>
      </c>
      <c r="H21" s="23">
        <v>46508</v>
      </c>
      <c r="I21" s="23">
        <v>46508</v>
      </c>
      <c r="J21" s="1" t="s">
        <v>266</v>
      </c>
    </row>
    <row r="22" spans="1:10" ht="30" customHeight="1" x14ac:dyDescent="0.25">
      <c r="A22" s="1">
        <v>19</v>
      </c>
      <c r="B22" s="7">
        <v>46600</v>
      </c>
      <c r="C22" s="21">
        <f>IF(AND(A22&gt;=3,A22&lt;=18),Вводные!$B10*Вводные!$B69/16,0)</f>
        <v>0</v>
      </c>
      <c r="D22" s="21">
        <f>IF(AND(A22&gt;=3,A22&lt;=18),Вводные!$B10*Вводные!$B70/16,0)</f>
        <v>0</v>
      </c>
      <c r="E22" s="18">
        <f>IF(AND(A22&gt;=12,A22&lt;=20),Структура_затрат!H14/9,0)</f>
        <v>11634934.444444444</v>
      </c>
      <c r="F22" s="18">
        <f>IF(AND(A22&gt;=13,A22&lt;=22),SUM(Структура_затрат!H18:H22)/10,0)</f>
        <v>17142936.399999999</v>
      </c>
      <c r="G22" s="23">
        <v>46569</v>
      </c>
      <c r="H22" s="23">
        <v>46539</v>
      </c>
      <c r="I22" s="23">
        <v>46539</v>
      </c>
      <c r="J22" s="1" t="s">
        <v>266</v>
      </c>
    </row>
    <row r="23" spans="1:10" ht="30" customHeight="1" x14ac:dyDescent="0.25">
      <c r="A23" s="1">
        <v>20</v>
      </c>
      <c r="B23" s="7">
        <v>46631</v>
      </c>
      <c r="C23" s="21">
        <f>IF(AND(A23&gt;=3,A23&lt;=18),Вводные!$B10*Вводные!$B69/16,0)</f>
        <v>0</v>
      </c>
      <c r="D23" s="21">
        <f>IF(AND(A23&gt;=3,A23&lt;=18),Вводные!$B10*Вводные!$B70/16,0)</f>
        <v>0</v>
      </c>
      <c r="E23" s="18">
        <f>IF(AND(A23&gt;=12,A23&lt;=20),Структура_затрат!H14/9,0)</f>
        <v>11634934.444444444</v>
      </c>
      <c r="F23" s="18">
        <f>IF(AND(A23&gt;=13,A23&lt;=22),SUM(Структура_затрат!H18:H22)/10,0)</f>
        <v>17142936.399999999</v>
      </c>
      <c r="G23" s="23">
        <v>46600</v>
      </c>
      <c r="H23" s="23">
        <v>46569</v>
      </c>
      <c r="I23" s="23">
        <v>46569</v>
      </c>
      <c r="J23" s="1" t="s">
        <v>266</v>
      </c>
    </row>
    <row r="24" spans="1:10" ht="30" customHeight="1" x14ac:dyDescent="0.25">
      <c r="A24" s="1">
        <v>21</v>
      </c>
      <c r="B24" s="7">
        <v>46661</v>
      </c>
      <c r="C24" s="21">
        <f>IF(AND(A24&gt;=3,A24&lt;=18),Вводные!$B10*Вводные!$B69/16,0)</f>
        <v>0</v>
      </c>
      <c r="D24" s="21">
        <f>IF(AND(A24&gt;=3,A24&lt;=18),Вводные!$B10*Вводные!$B70/16,0)</f>
        <v>0</v>
      </c>
      <c r="E24" s="18">
        <f>IF(AND(A24&gt;=12,A24&lt;=20),Структура_затрат!H14/9,0)</f>
        <v>0</v>
      </c>
      <c r="F24" s="18">
        <f>IF(AND(A24&gt;=13,A24&lt;=22),SUM(Структура_затрат!H18:H22)/10,0)</f>
        <v>17142936.399999999</v>
      </c>
      <c r="G24" s="23">
        <v>46631</v>
      </c>
      <c r="H24" s="23">
        <v>46600</v>
      </c>
      <c r="I24" s="23">
        <v>46600</v>
      </c>
      <c r="J24" s="1" t="s">
        <v>266</v>
      </c>
    </row>
    <row r="25" spans="1:10" ht="30" customHeight="1" x14ac:dyDescent="0.25">
      <c r="A25" s="1">
        <v>22</v>
      </c>
      <c r="B25" s="7">
        <v>46692</v>
      </c>
      <c r="C25" s="21">
        <f>IF(AND(A25&gt;=3,A25&lt;=18),Вводные!$B10*Вводные!$B69/16,0)</f>
        <v>0</v>
      </c>
      <c r="D25" s="21">
        <f>IF(AND(A25&gt;=3,A25&lt;=18),Вводные!$B10*Вводные!$B70/16,0)</f>
        <v>0</v>
      </c>
      <c r="E25" s="18">
        <f>IF(AND(A25&gt;=12,A25&lt;=20),Структура_затрат!H14/9,0)</f>
        <v>0</v>
      </c>
      <c r="F25" s="18">
        <f>IF(AND(A25&gt;=13,A25&lt;=22),SUM(Структура_затрат!H18:H22)/10,0)</f>
        <v>17142936.399999999</v>
      </c>
      <c r="G25" s="23">
        <v>46661</v>
      </c>
      <c r="H25" s="23">
        <v>46631</v>
      </c>
      <c r="I25" s="23">
        <v>46631</v>
      </c>
      <c r="J25" s="1" t="s">
        <v>266</v>
      </c>
    </row>
    <row r="26" spans="1:10" ht="30" customHeight="1" x14ac:dyDescent="0.25">
      <c r="A26" s="1">
        <v>23</v>
      </c>
      <c r="B26" s="7">
        <v>46722</v>
      </c>
      <c r="C26" s="21">
        <f>IF(AND(A26&gt;=3,A26&lt;=18),Вводные!$B10*Вводные!$B69/16,0)</f>
        <v>0</v>
      </c>
      <c r="D26" s="21">
        <f>IF(AND(A26&gt;=3,A26&lt;=18),Вводные!$B10*Вводные!$B70/16,0)</f>
        <v>0</v>
      </c>
      <c r="E26" s="18">
        <f>IF(AND(A26&gt;=12,A26&lt;=20),Структура_затрат!H14/9,0)</f>
        <v>0</v>
      </c>
      <c r="F26" s="18">
        <f>IF(AND(A26&gt;=13,A26&lt;=22),SUM(Структура_затрат!H18:H22)/10,0)</f>
        <v>0</v>
      </c>
      <c r="G26" s="23">
        <v>46692</v>
      </c>
      <c r="H26" s="23">
        <v>46661</v>
      </c>
      <c r="I26" s="23">
        <v>46661</v>
      </c>
      <c r="J26" s="1" t="s">
        <v>266</v>
      </c>
    </row>
    <row r="27" spans="1:10" ht="30" customHeight="1" x14ac:dyDescent="0.25">
      <c r="A27" s="1">
        <v>24</v>
      </c>
      <c r="B27" s="7">
        <v>46753</v>
      </c>
      <c r="C27" s="21">
        <f>IF(AND(A27&gt;=3,A27&lt;=18),Вводные!$B10*Вводные!$B69/16,0)</f>
        <v>0</v>
      </c>
      <c r="D27" s="21">
        <f>IF(AND(A27&gt;=3,A27&lt;=18),Вводные!$B10*Вводные!$B70/16,0)</f>
        <v>0</v>
      </c>
      <c r="E27" s="18">
        <f>IF(AND(A27&gt;=12,A27&lt;=20),Структура_затрат!H14/9,0)</f>
        <v>0</v>
      </c>
      <c r="F27" s="18">
        <f>IF(AND(A27&gt;=13,A27&lt;=22),SUM(Структура_затрат!H18:H22)/10,0)</f>
        <v>0</v>
      </c>
      <c r="G27" s="23">
        <v>46722</v>
      </c>
      <c r="H27" s="23">
        <v>46692</v>
      </c>
      <c r="I27" s="23">
        <v>46692</v>
      </c>
      <c r="J27" s="1" t="s">
        <v>266</v>
      </c>
    </row>
    <row r="28" spans="1:10" ht="30" customHeight="1" x14ac:dyDescent="0.25">
      <c r="A28" s="1">
        <v>25</v>
      </c>
      <c r="B28" s="7">
        <v>46784</v>
      </c>
      <c r="C28" s="21">
        <f>IF(AND(A28&gt;=3,A28&lt;=18),Вводные!$B10*Вводные!$B69/16,0)</f>
        <v>0</v>
      </c>
      <c r="D28" s="21">
        <f>IF(AND(A28&gt;=3,A28&lt;=18),Вводные!$B10*Вводные!$B70/16,0)</f>
        <v>0</v>
      </c>
      <c r="E28" s="18">
        <f>IF(AND(A28&gt;=12,A28&lt;=20),Структура_затрат!H14/9,0)</f>
        <v>0</v>
      </c>
      <c r="F28" s="18">
        <f>IF(AND(A28&gt;=13,A28&lt;=22),SUM(Структура_затрат!H18:H22)/10,0)</f>
        <v>0</v>
      </c>
      <c r="G28" s="23">
        <v>46753</v>
      </c>
      <c r="H28" s="23">
        <v>46722</v>
      </c>
      <c r="I28" s="23">
        <v>46722</v>
      </c>
      <c r="J28" s="1" t="s">
        <v>266</v>
      </c>
    </row>
    <row r="29" spans="1:10" ht="30" customHeight="1" x14ac:dyDescent="0.25">
      <c r="A29" s="1">
        <v>26</v>
      </c>
      <c r="B29" s="7">
        <v>46813</v>
      </c>
      <c r="C29" s="21">
        <f>IF(AND(A29&gt;=3,A29&lt;=18),Вводные!$B10*Вводные!$B69/16,0)</f>
        <v>0</v>
      </c>
      <c r="D29" s="21">
        <f>IF(AND(A29&gt;=3,A29&lt;=18),Вводные!$B10*Вводные!$B70/16,0)</f>
        <v>0</v>
      </c>
      <c r="E29" s="18">
        <f>IF(AND(A29&gt;=12,A29&lt;=20),Структура_затрат!H14/9,0)</f>
        <v>0</v>
      </c>
      <c r="F29" s="18">
        <f>IF(AND(A29&gt;=13,A29&lt;=22),SUM(Структура_затрат!H18:H22)/10,0)</f>
        <v>0</v>
      </c>
      <c r="G29" s="23">
        <v>46784</v>
      </c>
      <c r="H29" s="23">
        <v>46753</v>
      </c>
      <c r="I29" s="23">
        <v>46753</v>
      </c>
      <c r="J29" s="1" t="s">
        <v>266</v>
      </c>
    </row>
    <row r="30" spans="1:10" ht="30" customHeight="1" x14ac:dyDescent="0.25">
      <c r="A30" s="1">
        <v>27</v>
      </c>
      <c r="B30" s="7">
        <v>46844</v>
      </c>
      <c r="C30" s="21">
        <f>IF(AND(A30&gt;=3,A30&lt;=18),Вводные!$B10*Вводные!$B69/16,0)</f>
        <v>0</v>
      </c>
      <c r="D30" s="21">
        <f>IF(AND(A30&gt;=3,A30&lt;=18),Вводные!$B10*Вводные!$B70/16,0)</f>
        <v>0</v>
      </c>
      <c r="E30" s="18">
        <f>IF(AND(A30&gt;=12,A30&lt;=20),Структура_затрат!H14/9,0)</f>
        <v>0</v>
      </c>
      <c r="F30" s="18">
        <f>IF(AND(A30&gt;=13,A30&lt;=22),SUM(Структура_затрат!H18:H22)/10,0)</f>
        <v>0</v>
      </c>
      <c r="G30" s="23">
        <v>46813</v>
      </c>
      <c r="H30" s="23">
        <v>46784</v>
      </c>
      <c r="I30" s="23">
        <v>46784</v>
      </c>
      <c r="J30" s="1" t="s">
        <v>266</v>
      </c>
    </row>
    <row r="31" spans="1:10" ht="30" customHeight="1" x14ac:dyDescent="0.25">
      <c r="A31" s="1">
        <v>28</v>
      </c>
      <c r="B31" s="7">
        <v>46874</v>
      </c>
      <c r="C31" s="21">
        <f>IF(AND(A31&gt;=3,A31&lt;=18),Вводные!$B10*Вводные!$B69/16,0)</f>
        <v>0</v>
      </c>
      <c r="D31" s="21">
        <f>IF(AND(A31&gt;=3,A31&lt;=18),Вводные!$B10*Вводные!$B70/16,0)</f>
        <v>0</v>
      </c>
      <c r="E31" s="18">
        <f>IF(AND(A31&gt;=12,A31&lt;=20),Структура_затрат!H14/9,0)</f>
        <v>0</v>
      </c>
      <c r="F31" s="18">
        <f>IF(AND(A31&gt;=13,A31&lt;=22),SUM(Структура_затрат!H18:H22)/10,0)</f>
        <v>0</v>
      </c>
      <c r="G31" s="23">
        <v>46844</v>
      </c>
      <c r="H31" s="23">
        <v>46813</v>
      </c>
      <c r="I31" s="23">
        <v>46813</v>
      </c>
      <c r="J31" s="1" t="s">
        <v>266</v>
      </c>
    </row>
    <row r="32" spans="1:10" ht="30" customHeight="1" x14ac:dyDescent="0.25">
      <c r="A32" s="1">
        <v>29</v>
      </c>
      <c r="B32" s="7">
        <v>46905</v>
      </c>
      <c r="C32" s="21">
        <f>IF(AND(A32&gt;=3,A32&lt;=18),Вводные!$B10*Вводные!$B69/16,0)</f>
        <v>0</v>
      </c>
      <c r="D32" s="21">
        <f>IF(AND(A32&gt;=3,A32&lt;=18),Вводные!$B10*Вводные!$B70/16,0)</f>
        <v>0</v>
      </c>
      <c r="E32" s="18">
        <f>IF(AND(A32&gt;=12,A32&lt;=20),Структура_затрат!H14/9,0)</f>
        <v>0</v>
      </c>
      <c r="F32" s="18">
        <f>IF(AND(A32&gt;=13,A32&lt;=22),SUM(Структура_затрат!H18:H22)/10,0)</f>
        <v>0</v>
      </c>
      <c r="G32" s="23">
        <v>46874</v>
      </c>
      <c r="H32" s="23">
        <v>46844</v>
      </c>
      <c r="I32" s="23">
        <v>46844</v>
      </c>
      <c r="J32" s="1" t="s">
        <v>266</v>
      </c>
    </row>
    <row r="33" spans="1:10" ht="30" customHeight="1" x14ac:dyDescent="0.25">
      <c r="A33" s="1">
        <v>30</v>
      </c>
      <c r="B33" s="7">
        <v>46935</v>
      </c>
      <c r="C33" s="21">
        <f>IF(AND(A33&gt;=3,A33&lt;=18),Вводные!$B10*Вводные!$B69/16,0)</f>
        <v>0</v>
      </c>
      <c r="D33" s="21">
        <f>IF(AND(A33&gt;=3,A33&lt;=18),Вводные!$B10*Вводные!$B70/16,0)</f>
        <v>0</v>
      </c>
      <c r="E33" s="18">
        <f>IF(AND(A33&gt;=12,A33&lt;=20),Структура_затрат!H14/9,0)</f>
        <v>0</v>
      </c>
      <c r="F33" s="18">
        <f>IF(AND(A33&gt;=13,A33&lt;=22),SUM(Структура_затрат!H18:H22)/10,0)</f>
        <v>0</v>
      </c>
      <c r="G33" s="23">
        <v>46905</v>
      </c>
      <c r="H33" s="23">
        <v>46874</v>
      </c>
      <c r="I33" s="23">
        <v>46874</v>
      </c>
      <c r="J33" s="1" t="s">
        <v>266</v>
      </c>
    </row>
    <row r="34" spans="1:10" ht="30" customHeight="1" x14ac:dyDescent="0.25">
      <c r="A34" s="1">
        <v>31</v>
      </c>
      <c r="B34" s="7">
        <v>46966</v>
      </c>
      <c r="C34" s="21">
        <f>IF(AND(A34&gt;=3,A34&lt;=18),Вводные!$B10*Вводные!$B69/16,0)</f>
        <v>0</v>
      </c>
      <c r="D34" s="21">
        <f>IF(AND(A34&gt;=3,A34&lt;=18),Вводные!$B10*Вводные!$B70/16,0)</f>
        <v>0</v>
      </c>
      <c r="E34" s="18">
        <f>IF(AND(A34&gt;=12,A34&lt;=20),Структура_затрат!H14/9,0)</f>
        <v>0</v>
      </c>
      <c r="F34" s="18">
        <f>IF(AND(A34&gt;=13,A34&lt;=22),SUM(Структура_затрат!H18:H22)/10,0)</f>
        <v>0</v>
      </c>
      <c r="G34" s="23">
        <v>46935</v>
      </c>
      <c r="H34" s="23">
        <v>46905</v>
      </c>
      <c r="I34" s="23">
        <v>46905</v>
      </c>
      <c r="J34" s="1" t="s">
        <v>266</v>
      </c>
    </row>
    <row r="35" spans="1:10" ht="30" customHeight="1" x14ac:dyDescent="0.25">
      <c r="A35" s="1">
        <v>32</v>
      </c>
      <c r="B35" s="7">
        <v>46997</v>
      </c>
      <c r="C35" s="21">
        <f>IF(AND(A35&gt;=3,A35&lt;=18),Вводные!$B10*Вводные!$B69/16,0)</f>
        <v>0</v>
      </c>
      <c r="D35" s="21">
        <f>IF(AND(A35&gt;=3,A35&lt;=18),Вводные!$B10*Вводные!$B70/16,0)</f>
        <v>0</v>
      </c>
      <c r="E35" s="18">
        <f>IF(AND(A35&gt;=12,A35&lt;=20),Структура_затрат!H14/9,0)</f>
        <v>0</v>
      </c>
      <c r="F35" s="18">
        <f>IF(AND(A35&gt;=13,A35&lt;=22),SUM(Структура_затрат!H18:H22)/10,0)</f>
        <v>0</v>
      </c>
      <c r="G35" s="23">
        <v>46966</v>
      </c>
      <c r="H35" s="23">
        <v>46935</v>
      </c>
      <c r="I35" s="23">
        <v>46935</v>
      </c>
      <c r="J35" s="1" t="s">
        <v>266</v>
      </c>
    </row>
    <row r="36" spans="1:10" ht="30" customHeight="1" x14ac:dyDescent="0.25">
      <c r="A36" s="1">
        <v>33</v>
      </c>
      <c r="B36" s="7">
        <v>47027</v>
      </c>
      <c r="C36" s="21">
        <f>IF(AND(A36&gt;=3,A36&lt;=18),Вводные!$B10*Вводные!$B69/16,0)</f>
        <v>0</v>
      </c>
      <c r="D36" s="21">
        <f>IF(AND(A36&gt;=3,A36&lt;=18),Вводные!$B10*Вводные!$B70/16,0)</f>
        <v>0</v>
      </c>
      <c r="E36" s="18">
        <f>IF(AND(A36&gt;=12,A36&lt;=20),Структура_затрат!H14/9,0)</f>
        <v>0</v>
      </c>
      <c r="F36" s="18">
        <f>IF(AND(A36&gt;=13,A36&lt;=22),SUM(Структура_затрат!H18:H22)/10,0)</f>
        <v>0</v>
      </c>
      <c r="G36" s="23">
        <v>46997</v>
      </c>
      <c r="H36" s="23">
        <v>46966</v>
      </c>
      <c r="I36" s="23">
        <v>46966</v>
      </c>
      <c r="J36" s="1" t="s">
        <v>266</v>
      </c>
    </row>
    <row r="37" spans="1:10" ht="30" customHeight="1" x14ac:dyDescent="0.25">
      <c r="A37" s="1">
        <v>34</v>
      </c>
      <c r="B37" s="7">
        <v>47058</v>
      </c>
      <c r="C37" s="21">
        <f>IF(AND(A37&gt;=3,A37&lt;=18),Вводные!$B10*Вводные!$B69/16,0)</f>
        <v>0</v>
      </c>
      <c r="D37" s="21">
        <f>IF(AND(A37&gt;=3,A37&lt;=18),Вводные!$B10*Вводные!$B70/16,0)</f>
        <v>0</v>
      </c>
      <c r="E37" s="18">
        <f>IF(AND(A37&gt;=12,A37&lt;=20),Структура_затрат!H14/9,0)</f>
        <v>0</v>
      </c>
      <c r="F37" s="18">
        <f>IF(AND(A37&gt;=13,A37&lt;=22),SUM(Структура_затрат!H18:H22)/10,0)</f>
        <v>0</v>
      </c>
      <c r="G37" s="23">
        <v>47027</v>
      </c>
      <c r="H37" s="23">
        <v>46997</v>
      </c>
      <c r="I37" s="23">
        <v>46997</v>
      </c>
      <c r="J37" s="1" t="s">
        <v>266</v>
      </c>
    </row>
    <row r="38" spans="1:10" ht="30" customHeight="1" x14ac:dyDescent="0.25">
      <c r="A38" s="1">
        <v>35</v>
      </c>
      <c r="B38" s="7">
        <v>47088</v>
      </c>
      <c r="C38" s="21">
        <f>IF(AND(A38&gt;=3,A38&lt;=18),Вводные!$B10*Вводные!$B69/16,0)</f>
        <v>0</v>
      </c>
      <c r="D38" s="21">
        <f>IF(AND(A38&gt;=3,A38&lt;=18),Вводные!$B10*Вводные!$B70/16,0)</f>
        <v>0</v>
      </c>
      <c r="E38" s="18">
        <f>IF(AND(A38&gt;=12,A38&lt;=20),Структура_затрат!H14/9,0)</f>
        <v>0</v>
      </c>
      <c r="F38" s="18">
        <f>IF(AND(A38&gt;=13,A38&lt;=22),SUM(Структура_затрат!H18:H22)/10,0)</f>
        <v>0</v>
      </c>
      <c r="G38" s="23">
        <v>47058</v>
      </c>
      <c r="H38" s="23">
        <v>47027</v>
      </c>
      <c r="I38" s="23">
        <v>47027</v>
      </c>
      <c r="J38" s="1" t="s">
        <v>266</v>
      </c>
    </row>
    <row r="39" spans="1:10" ht="30" customHeight="1" x14ac:dyDescent="0.25">
      <c r="A39" s="1">
        <v>36</v>
      </c>
      <c r="B39" s="7">
        <v>47119</v>
      </c>
      <c r="C39" s="21">
        <f>IF(AND(A39&gt;=3,A39&lt;=18),Вводные!$B10*Вводные!$B69/16,0)</f>
        <v>0</v>
      </c>
      <c r="D39" s="21">
        <f>IF(AND(A39&gt;=3,A39&lt;=18),Вводные!$B10*Вводные!$B70/16,0)</f>
        <v>0</v>
      </c>
      <c r="E39" s="18">
        <f>IF(AND(A39&gt;=12,A39&lt;=20),Структура_затрат!H14/9,0)</f>
        <v>0</v>
      </c>
      <c r="F39" s="18">
        <f>IF(AND(A39&gt;=13,A39&lt;=22),SUM(Структура_затрат!H18:H22)/10,0)</f>
        <v>0</v>
      </c>
      <c r="G39" s="23">
        <v>47088</v>
      </c>
      <c r="H39" s="23">
        <v>47058</v>
      </c>
      <c r="I39" s="23">
        <v>47058</v>
      </c>
      <c r="J39" s="1" t="s">
        <v>266</v>
      </c>
    </row>
  </sheetData>
  <mergeCells count="1">
    <mergeCell ref="A1:J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5"/>
  <sheetViews>
    <sheetView showGridLines="0" workbookViewId="0"/>
  </sheetViews>
  <sheetFormatPr defaultRowHeight="15" x14ac:dyDescent="0.25"/>
  <cols>
    <col min="1" max="1" width="10" style="32" customWidth="1"/>
    <col min="2" max="2" width="12" style="32" customWidth="1"/>
    <col min="3" max="5" width="18" style="32" customWidth="1"/>
    <col min="6" max="7" width="14" style="32" customWidth="1"/>
    <col min="8" max="9" width="10" style="32" customWidth="1"/>
  </cols>
  <sheetData>
    <row r="1" spans="1:9" x14ac:dyDescent="0.25">
      <c r="A1" s="36" t="s">
        <v>267</v>
      </c>
      <c r="B1" s="37"/>
      <c r="C1" s="37"/>
      <c r="D1" s="37"/>
      <c r="E1" s="37"/>
      <c r="F1" s="37"/>
      <c r="G1" s="37"/>
      <c r="H1" s="37"/>
      <c r="I1" s="37"/>
    </row>
    <row r="2" spans="1:9" x14ac:dyDescent="0.25">
      <c r="A2" s="1"/>
      <c r="B2" s="1"/>
      <c r="C2" s="1"/>
      <c r="D2" s="1"/>
      <c r="E2" s="1"/>
      <c r="F2" s="1"/>
      <c r="G2" s="1"/>
      <c r="H2" s="1"/>
      <c r="I2" s="1"/>
    </row>
    <row r="3" spans="1:9" ht="45" customHeight="1" x14ac:dyDescent="0.25">
      <c r="A3" s="2" t="s">
        <v>268</v>
      </c>
      <c r="B3" s="2" t="s">
        <v>269</v>
      </c>
      <c r="C3" s="2" t="s">
        <v>270</v>
      </c>
      <c r="D3" s="2" t="s">
        <v>271</v>
      </c>
      <c r="E3" s="2" t="s">
        <v>253</v>
      </c>
      <c r="F3" s="2" t="s">
        <v>272</v>
      </c>
      <c r="G3" s="2" t="s">
        <v>59</v>
      </c>
      <c r="H3" s="2" t="s">
        <v>273</v>
      </c>
      <c r="I3" s="2" t="s">
        <v>274</v>
      </c>
    </row>
    <row r="4" spans="1:9" x14ac:dyDescent="0.25">
      <c r="A4" s="1" t="s">
        <v>275</v>
      </c>
      <c r="B4" s="1" t="s">
        <v>276</v>
      </c>
      <c r="C4" s="18">
        <f>SUM(Денежный_поток!H4:H6)</f>
        <v>79870693.263554409</v>
      </c>
      <c r="D4" s="18">
        <f>SUM(Денежный_поток!E4:E6)</f>
        <v>69400433.383904248</v>
      </c>
      <c r="E4" s="18">
        <f>SUM(Денежный_поток!I4:K6)</f>
        <v>186733.88128970942</v>
      </c>
      <c r="F4" s="18">
        <f t="shared" ref="F4:F15" si="0">E4</f>
        <v>186733.88128970942</v>
      </c>
      <c r="G4" s="22">
        <f t="shared" ref="G4:G15" si="1">MAX(0,C4-D4)</f>
        <v>10470259.879650161</v>
      </c>
      <c r="H4" s="22">
        <f t="shared" ref="H4:H15" si="2">IF(F4=0,"",G4/F4)</f>
        <v>56.070488158525514</v>
      </c>
      <c r="I4" s="1" t="str">
        <f>IF(H4="","",IF(H4&gt;=Вводные!$B29,"OK","RISK"))</f>
        <v>OK</v>
      </c>
    </row>
    <row r="5" spans="1:9" x14ac:dyDescent="0.25">
      <c r="A5" s="1" t="s">
        <v>277</v>
      </c>
      <c r="B5" s="1" t="s">
        <v>278</v>
      </c>
      <c r="C5" s="18">
        <f>SUM(Денежный_поток!H7:H9)</f>
        <v>135877719.62030578</v>
      </c>
      <c r="D5" s="18">
        <f>SUM(Денежный_поток!E7:E9)</f>
        <v>111087547.93945979</v>
      </c>
      <c r="E5" s="18">
        <f>SUM(Денежный_поток!I7:K9)</f>
        <v>306287.47604176903</v>
      </c>
      <c r="F5" s="18">
        <f t="shared" si="0"/>
        <v>306287.47604176903</v>
      </c>
      <c r="G5" s="22">
        <f t="shared" si="1"/>
        <v>24790171.680845991</v>
      </c>
      <c r="H5" s="22">
        <f t="shared" si="2"/>
        <v>80.93759497193841</v>
      </c>
      <c r="I5" s="1" t="str">
        <f>IF(H5="","",IF(H5&gt;=Вводные!$B29,"OK","RISK"))</f>
        <v>OK</v>
      </c>
    </row>
    <row r="6" spans="1:9" x14ac:dyDescent="0.25">
      <c r="A6" s="1" t="s">
        <v>279</v>
      </c>
      <c r="B6" s="1" t="s">
        <v>280</v>
      </c>
      <c r="C6" s="18">
        <f>SUM(Денежный_поток!H10:H12)</f>
        <v>276857832.62522614</v>
      </c>
      <c r="D6" s="18">
        <f>SUM(Денежный_поток!E10:E12)</f>
        <v>137316699.86009473</v>
      </c>
      <c r="E6" s="18">
        <f>SUM(Денежный_поток!I10:K12)</f>
        <v>239308.16132343002</v>
      </c>
      <c r="F6" s="18">
        <f t="shared" si="0"/>
        <v>239308.16132343002</v>
      </c>
      <c r="G6" s="22">
        <f t="shared" si="1"/>
        <v>139541132.76513141</v>
      </c>
      <c r="H6" s="22">
        <f t="shared" si="2"/>
        <v>583.10227279101707</v>
      </c>
      <c r="I6" s="1" t="str">
        <f>IF(H6="","",IF(H6&gt;=Вводные!$B29,"OK","RISK"))</f>
        <v>OK</v>
      </c>
    </row>
    <row r="7" spans="1:9" x14ac:dyDescent="0.25">
      <c r="A7" s="1" t="s">
        <v>281</v>
      </c>
      <c r="B7" s="1" t="s">
        <v>282</v>
      </c>
      <c r="C7" s="18">
        <f>SUM(Денежный_поток!H13:H15)</f>
        <v>398257892.93461585</v>
      </c>
      <c r="D7" s="18">
        <f>SUM(Денежный_поток!E13:E15)</f>
        <v>288027644.21247566</v>
      </c>
      <c r="E7" s="18">
        <f>SUM(Денежный_поток!I13:K15)</f>
        <v>144021.45182248857</v>
      </c>
      <c r="F7" s="18">
        <f t="shared" si="0"/>
        <v>144021.45182248857</v>
      </c>
      <c r="G7" s="22">
        <f t="shared" si="1"/>
        <v>110230248.72214019</v>
      </c>
      <c r="H7" s="22">
        <f t="shared" si="2"/>
        <v>765.37381985291188</v>
      </c>
      <c r="I7" s="1" t="str">
        <f>IF(H7="","",IF(H7&gt;=Вводные!$B29,"OK","RISK"))</f>
        <v>OK</v>
      </c>
    </row>
    <row r="8" spans="1:9" x14ac:dyDescent="0.25">
      <c r="A8" s="1" t="s">
        <v>283</v>
      </c>
      <c r="B8" s="1" t="s">
        <v>284</v>
      </c>
      <c r="C8" s="18">
        <f>SUM(Денежный_поток!H16:H18)</f>
        <v>436101743.62319392</v>
      </c>
      <c r="D8" s="18">
        <f>SUM(Денежный_поток!E16:E18)</f>
        <v>228575528.15692011</v>
      </c>
      <c r="E8" s="18">
        <f>SUM(Денежный_поток!I16:K18)</f>
        <v>100911.70801420689</v>
      </c>
      <c r="F8" s="18">
        <f t="shared" si="0"/>
        <v>100911.70801420689</v>
      </c>
      <c r="G8" s="22">
        <f t="shared" si="1"/>
        <v>207526215.46627381</v>
      </c>
      <c r="H8" s="22">
        <f t="shared" si="2"/>
        <v>2056.5127629893764</v>
      </c>
      <c r="I8" s="1" t="str">
        <f>IF(H8="","",IF(H8&gt;=Вводные!$B29,"OK","RISK"))</f>
        <v>OK</v>
      </c>
    </row>
    <row r="9" spans="1:9" x14ac:dyDescent="0.25">
      <c r="A9" s="1" t="s">
        <v>285</v>
      </c>
      <c r="B9" s="1" t="s">
        <v>286</v>
      </c>
      <c r="C9" s="18">
        <f>SUM(Денежный_поток!H19:H21)</f>
        <v>147221208.40496865</v>
      </c>
      <c r="D9" s="18">
        <f>SUM(Денежный_поток!E19:E21)</f>
        <v>34304368.961301416</v>
      </c>
      <c r="E9" s="18">
        <f>SUM(Денежный_поток!I19:K21)</f>
        <v>113598.95919417919</v>
      </c>
      <c r="F9" s="18">
        <f t="shared" si="0"/>
        <v>113598.95919417919</v>
      </c>
      <c r="G9" s="22">
        <f t="shared" si="1"/>
        <v>112916839.44366723</v>
      </c>
      <c r="H9" s="22">
        <f t="shared" si="2"/>
        <v>993.99536971684768</v>
      </c>
      <c r="I9" s="1" t="str">
        <f>IF(H9="","",IF(H9&gt;=Вводные!$B29,"OK","RISK"))</f>
        <v>OK</v>
      </c>
    </row>
    <row r="10" spans="1:9" x14ac:dyDescent="0.25">
      <c r="A10" s="1" t="s">
        <v>287</v>
      </c>
      <c r="B10" s="1" t="s">
        <v>288</v>
      </c>
      <c r="C10" s="18">
        <f>SUM(Денежный_поток!H22:H24)</f>
        <v>0</v>
      </c>
      <c r="D10" s="18">
        <f>SUM(Денежный_поток!E22:E24)</f>
        <v>0</v>
      </c>
      <c r="E10" s="18">
        <f>SUM(Денежный_поток!I22:K24)</f>
        <v>268149.32916622434</v>
      </c>
      <c r="F10" s="18">
        <f t="shared" si="0"/>
        <v>268149.32916622434</v>
      </c>
      <c r="G10" s="22">
        <f t="shared" si="1"/>
        <v>0</v>
      </c>
      <c r="H10" s="22">
        <f t="shared" si="2"/>
        <v>0</v>
      </c>
      <c r="I10" s="1" t="str">
        <f>IF(H10="","",IF(H10&gt;=Вводные!$B29,"OK","RISK"))</f>
        <v>RISK</v>
      </c>
    </row>
    <row r="11" spans="1:9" x14ac:dyDescent="0.25">
      <c r="A11" s="1" t="s">
        <v>289</v>
      </c>
      <c r="B11" s="1" t="s">
        <v>290</v>
      </c>
      <c r="C11" s="18">
        <f>SUM(Денежный_поток!H25:H27)</f>
        <v>0</v>
      </c>
      <c r="D11" s="18">
        <f>SUM(Денежный_поток!E25:E27)</f>
        <v>0</v>
      </c>
      <c r="E11" s="18">
        <f>SUM(Денежный_поток!I25:K27)</f>
        <v>267974.61063302797</v>
      </c>
      <c r="F11" s="18">
        <f t="shared" si="0"/>
        <v>267974.61063302797</v>
      </c>
      <c r="G11" s="22">
        <f t="shared" si="1"/>
        <v>0</v>
      </c>
      <c r="H11" s="22">
        <f t="shared" si="2"/>
        <v>0</v>
      </c>
      <c r="I11" s="1" t="str">
        <f>IF(H11="","",IF(H11&gt;=Вводные!$B29,"OK","RISK"))</f>
        <v>RISK</v>
      </c>
    </row>
    <row r="12" spans="1:9" x14ac:dyDescent="0.25">
      <c r="A12" s="1" t="s">
        <v>291</v>
      </c>
      <c r="B12" s="1" t="s">
        <v>292</v>
      </c>
      <c r="C12" s="18">
        <f>SUM(Денежный_поток!H28:H30)</f>
        <v>0</v>
      </c>
      <c r="D12" s="18">
        <f>SUM(Денежный_поток!E28:E30)</f>
        <v>0</v>
      </c>
      <c r="E12" s="18">
        <f>SUM(Денежный_поток!I28:K30)</f>
        <v>267800.01874015835</v>
      </c>
      <c r="F12" s="18">
        <f t="shared" si="0"/>
        <v>267800.01874015835</v>
      </c>
      <c r="G12" s="22">
        <f t="shared" si="1"/>
        <v>0</v>
      </c>
      <c r="H12" s="22">
        <f t="shared" si="2"/>
        <v>0</v>
      </c>
      <c r="I12" s="1" t="str">
        <f>IF(H12="","",IF(H12&gt;=Вводные!$B29,"OK","RISK"))</f>
        <v>RISK</v>
      </c>
    </row>
    <row r="13" spans="1:9" x14ac:dyDescent="0.25">
      <c r="A13" s="1" t="s">
        <v>293</v>
      </c>
      <c r="B13" s="1" t="s">
        <v>294</v>
      </c>
      <c r="C13" s="18">
        <f>SUM(Денежный_поток!H31:H33)</f>
        <v>0</v>
      </c>
      <c r="D13" s="18">
        <f>SUM(Денежный_поток!E31:E33)</f>
        <v>0</v>
      </c>
      <c r="E13" s="18">
        <f>SUM(Денежный_поток!I31:K33)</f>
        <v>267625.55339582369</v>
      </c>
      <c r="F13" s="18">
        <f t="shared" si="0"/>
        <v>267625.55339582369</v>
      </c>
      <c r="G13" s="22">
        <f t="shared" si="1"/>
        <v>0</v>
      </c>
      <c r="H13" s="22">
        <f t="shared" si="2"/>
        <v>0</v>
      </c>
      <c r="I13" s="1" t="str">
        <f>IF(H13="","",IF(H13&gt;=Вводные!$B29,"OK","RISK"))</f>
        <v>RISK</v>
      </c>
    </row>
    <row r="14" spans="1:9" x14ac:dyDescent="0.25">
      <c r="A14" s="1" t="s">
        <v>295</v>
      </c>
      <c r="B14" s="1" t="s">
        <v>296</v>
      </c>
      <c r="C14" s="18">
        <f>SUM(Денежный_поток!H34:H36)</f>
        <v>0</v>
      </c>
      <c r="D14" s="18">
        <f>SUM(Денежный_поток!E34:E36)</f>
        <v>0</v>
      </c>
      <c r="E14" s="18">
        <f>SUM(Денежный_поток!I34:K36)</f>
        <v>267451.2145082982</v>
      </c>
      <c r="F14" s="18">
        <f t="shared" si="0"/>
        <v>267451.2145082982</v>
      </c>
      <c r="G14" s="22">
        <f t="shared" si="1"/>
        <v>0</v>
      </c>
      <c r="H14" s="22">
        <f t="shared" si="2"/>
        <v>0</v>
      </c>
      <c r="I14" s="1" t="str">
        <f>IF(H14="","",IF(H14&gt;=Вводные!$B29,"OK","RISK"))</f>
        <v>RISK</v>
      </c>
    </row>
    <row r="15" spans="1:9" x14ac:dyDescent="0.25">
      <c r="A15" s="1" t="s">
        <v>297</v>
      </c>
      <c r="B15" s="1" t="s">
        <v>298</v>
      </c>
      <c r="C15" s="18">
        <f>SUM(Денежный_поток!H37:H39)</f>
        <v>0</v>
      </c>
      <c r="D15" s="18">
        <f>SUM(Денежный_поток!E37:E39)</f>
        <v>0</v>
      </c>
      <c r="E15" s="18">
        <f>SUM(Денежный_поток!I37:K39)</f>
        <v>267277.00198592315</v>
      </c>
      <c r="F15" s="18">
        <f t="shared" si="0"/>
        <v>267277.00198592315</v>
      </c>
      <c r="G15" s="22">
        <f t="shared" si="1"/>
        <v>0</v>
      </c>
      <c r="H15" s="22">
        <f t="shared" si="2"/>
        <v>0</v>
      </c>
      <c r="I15" s="1" t="str">
        <f>IF(H15="","",IF(H15&gt;=Вводные!$B29,"OK","RISK"))</f>
        <v>RISK</v>
      </c>
    </row>
  </sheetData>
  <mergeCells count="1">
    <mergeCell ref="A1:I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23"/>
  <sheetViews>
    <sheetView showGridLines="0" workbookViewId="0">
      <selection activeCell="B22" sqref="B22"/>
    </sheetView>
  </sheetViews>
  <sheetFormatPr defaultRowHeight="15" x14ac:dyDescent="0.25"/>
  <cols>
    <col min="1" max="1" width="28" style="32" customWidth="1"/>
    <col min="2" max="2" width="18" style="32" customWidth="1"/>
    <col min="3" max="3" width="10" style="32" customWidth="1"/>
    <col min="4" max="4" width="52" style="32" customWidth="1"/>
  </cols>
  <sheetData>
    <row r="1" spans="1:4" x14ac:dyDescent="0.25">
      <c r="A1" s="36" t="s">
        <v>299</v>
      </c>
      <c r="B1" s="37"/>
      <c r="C1" s="37"/>
      <c r="D1" s="37"/>
    </row>
    <row r="2" spans="1:4" x14ac:dyDescent="0.25">
      <c r="A2" s="1"/>
      <c r="B2" s="1"/>
      <c r="C2" s="1"/>
      <c r="D2" s="1"/>
    </row>
    <row r="3" spans="1:4" x14ac:dyDescent="0.25">
      <c r="A3" s="2" t="s">
        <v>300</v>
      </c>
      <c r="B3" s="2" t="s">
        <v>2</v>
      </c>
      <c r="C3" s="2" t="s">
        <v>3</v>
      </c>
      <c r="D3" s="2" t="s">
        <v>4</v>
      </c>
    </row>
    <row r="4" spans="1:4" x14ac:dyDescent="0.25">
      <c r="A4" s="1" t="s">
        <v>301</v>
      </c>
      <c r="B4" s="18">
        <f>Продажи!J41</f>
        <v>1474187090.4718649</v>
      </c>
      <c r="C4" s="1" t="s">
        <v>46</v>
      </c>
      <c r="D4" s="1" t="s">
        <v>302</v>
      </c>
    </row>
    <row r="5" spans="1:4" x14ac:dyDescent="0.25">
      <c r="A5" s="1" t="s">
        <v>303</v>
      </c>
      <c r="B5" s="18">
        <f>Структура_затрат!H37</f>
        <v>1044599794.3303339</v>
      </c>
      <c r="C5" s="1" t="s">
        <v>46</v>
      </c>
      <c r="D5" s="1" t="s">
        <v>304</v>
      </c>
    </row>
    <row r="6" spans="1:4" x14ac:dyDescent="0.25">
      <c r="A6" s="1" t="s">
        <v>305</v>
      </c>
      <c r="B6" s="18">
        <f>Структура_затрат!H8</f>
        <v>0</v>
      </c>
      <c r="C6" s="1" t="s">
        <v>46</v>
      </c>
      <c r="D6" s="1" t="s">
        <v>306</v>
      </c>
    </row>
    <row r="7" spans="1:4" x14ac:dyDescent="0.25">
      <c r="A7" s="1" t="s">
        <v>307</v>
      </c>
      <c r="B7" s="18">
        <f>Структура_затрат!H34</f>
        <v>1000374181.616178</v>
      </c>
      <c r="C7" s="1" t="s">
        <v>46</v>
      </c>
      <c r="D7" s="1" t="s">
        <v>308</v>
      </c>
    </row>
    <row r="8" spans="1:4" x14ac:dyDescent="0.25">
      <c r="A8" s="1" t="s">
        <v>309</v>
      </c>
      <c r="B8" s="18">
        <f>Структура_затрат!H36</f>
        <v>44225612.71415595</v>
      </c>
      <c r="C8" s="1" t="s">
        <v>46</v>
      </c>
      <c r="D8" s="1" t="s">
        <v>187</v>
      </c>
    </row>
    <row r="9" spans="1:4" x14ac:dyDescent="0.25">
      <c r="A9" s="1" t="s">
        <v>310</v>
      </c>
      <c r="B9" s="18">
        <f>B4-B5</f>
        <v>429587296.14153099</v>
      </c>
      <c r="C9" s="1" t="s">
        <v>46</v>
      </c>
      <c r="D9" s="1" t="s">
        <v>311</v>
      </c>
    </row>
    <row r="10" spans="1:4" x14ac:dyDescent="0.25">
      <c r="A10" s="1" t="s">
        <v>312</v>
      </c>
      <c r="B10" s="20">
        <f>IF(B4=0,0,B9/B4)</f>
        <v>0.29140622578917486</v>
      </c>
      <c r="C10" s="1" t="s">
        <v>36</v>
      </c>
      <c r="D10" s="1"/>
    </row>
    <row r="11" spans="1:4" x14ac:dyDescent="0.25">
      <c r="A11" s="1" t="s">
        <v>313</v>
      </c>
      <c r="B11" s="18">
        <f>B5/Вводные!$B$11</f>
        <v>132895.32669539331</v>
      </c>
      <c r="C11" s="1" t="s">
        <v>30</v>
      </c>
      <c r="D11" s="1"/>
    </row>
    <row r="12" spans="1:4" ht="30" customHeight="1" x14ac:dyDescent="0.25">
      <c r="A12" s="1" t="s">
        <v>314</v>
      </c>
      <c r="B12" s="18">
        <f>B4/Вводные!$B$11</f>
        <v>187547.97393386846</v>
      </c>
      <c r="C12" s="1" t="s">
        <v>30</v>
      </c>
      <c r="D12" s="1"/>
    </row>
    <row r="13" spans="1:4" x14ac:dyDescent="0.25">
      <c r="A13" s="1" t="s">
        <v>245</v>
      </c>
      <c r="B13" s="18">
        <f>MAX(Кредит!S4:S39)</f>
        <v>741055820.30367231</v>
      </c>
      <c r="C13" s="1" t="s">
        <v>46</v>
      </c>
      <c r="D13" s="1"/>
    </row>
    <row r="14" spans="1:4" x14ac:dyDescent="0.25">
      <c r="A14" s="1" t="s">
        <v>238</v>
      </c>
      <c r="B14" s="18">
        <f>SUM(Кредит!N4:N39)</f>
        <v>435985.62953422667</v>
      </c>
      <c r="C14" s="1" t="s">
        <v>46</v>
      </c>
      <c r="D14" s="1"/>
    </row>
    <row r="15" spans="1:4" ht="30" customHeight="1" x14ac:dyDescent="0.25">
      <c r="A15" s="1" t="s">
        <v>315</v>
      </c>
      <c r="B15" s="18">
        <f>SUM(Кредит!O4:O39)</f>
        <v>324945.54840670712</v>
      </c>
      <c r="C15" s="1" t="s">
        <v>46</v>
      </c>
      <c r="D15" s="1"/>
    </row>
    <row r="16" spans="1:4" x14ac:dyDescent="0.25">
      <c r="A16" s="1" t="s">
        <v>240</v>
      </c>
      <c r="B16" s="18">
        <f>SUM(Кредит!P4:P39)</f>
        <v>111040.08112751944</v>
      </c>
      <c r="C16" s="1" t="s">
        <v>46</v>
      </c>
      <c r="D16" s="1"/>
    </row>
    <row r="17" spans="1:4" x14ac:dyDescent="0.25">
      <c r="A17" s="1" t="s">
        <v>316</v>
      </c>
      <c r="B17" s="18">
        <f>SUM(Кредит!Q4:Q39)</f>
        <v>2586099.2849877197</v>
      </c>
      <c r="C17" s="1" t="s">
        <v>46</v>
      </c>
      <c r="D17" s="1"/>
    </row>
    <row r="18" spans="1:4" x14ac:dyDescent="0.25">
      <c r="A18" s="1" t="s">
        <v>317</v>
      </c>
      <c r="B18" s="24">
        <f>MIN(ДСCR!H4:H15)</f>
        <v>0</v>
      </c>
      <c r="C18" s="1" t="s">
        <v>41</v>
      </c>
      <c r="D18" s="1" t="s">
        <v>318</v>
      </c>
    </row>
    <row r="19" spans="1:4" x14ac:dyDescent="0.25">
      <c r="A19" s="1" t="s">
        <v>319</v>
      </c>
      <c r="B19" s="25">
        <f>SUM(Кредит!G4:G39)/(Структура_затрат!H8+Структура_затрат!H34)</f>
        <v>0.13051860937967866</v>
      </c>
      <c r="C19" s="1" t="s">
        <v>36</v>
      </c>
      <c r="D19" s="1"/>
    </row>
    <row r="20" spans="1:4" ht="30" customHeight="1" x14ac:dyDescent="0.25">
      <c r="A20" s="1" t="s">
        <v>320</v>
      </c>
      <c r="B20" s="18">
        <f>Кредит!S39</f>
        <v>741055820.30367231</v>
      </c>
      <c r="C20" s="1" t="s">
        <v>46</v>
      </c>
      <c r="D20" s="1"/>
    </row>
    <row r="21" spans="1:4" x14ac:dyDescent="0.25">
      <c r="A21" s="1" t="s">
        <v>325</v>
      </c>
      <c r="B21" s="1">
        <f>B9-B9*0.25</f>
        <v>322190472.10614824</v>
      </c>
      <c r="C21" s="1"/>
      <c r="D21" s="1"/>
    </row>
    <row r="22" spans="1:4" ht="120" customHeight="1" x14ac:dyDescent="0.25">
      <c r="A22" s="8" t="s">
        <v>119</v>
      </c>
      <c r="B22" s="1" t="s">
        <v>321</v>
      </c>
      <c r="C22" s="1"/>
      <c r="D22" s="1"/>
    </row>
    <row r="23" spans="1:4" ht="165" customHeight="1" x14ac:dyDescent="0.25">
      <c r="A23" t="s">
        <v>322</v>
      </c>
      <c r="B23" s="26" t="s">
        <v>323</v>
      </c>
      <c r="D23" t="s">
        <v>324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Вводные</vt:lpstr>
      <vt:lpstr>Структура_затрат</vt:lpstr>
      <vt:lpstr>ГПР</vt:lpstr>
      <vt:lpstr>Продажи</vt:lpstr>
      <vt:lpstr>Кредит</vt:lpstr>
      <vt:lpstr>Денежный_поток</vt:lpstr>
      <vt:lpstr>Поставки</vt:lpstr>
      <vt:lpstr>ДСCR</vt:lpstr>
      <vt:lpstr>Свод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Maxim</cp:lastModifiedBy>
  <dcterms:created xsi:type="dcterms:W3CDTF">2026-04-20T03:50:24Z</dcterms:created>
  <dcterms:modified xsi:type="dcterms:W3CDTF">2026-04-29T03:33:03Z</dcterms:modified>
</cp:coreProperties>
</file>